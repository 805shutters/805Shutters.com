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a62f80680149b3" /></Relationships>
</file>

<file path=xl/workbook.xml><?xml version="1.0" encoding="utf-8"?>
<x:workbook xmlns:x="http://schemas.openxmlformats.org/spreadsheetml/2006/main">
  <x:sheets>
    <x:sheet xmlns:r="http://schemas.openxmlformats.org/officeDocument/2006/relationships" name="Summary" sheetId="1" r:id="R75b54e354a844d91"/>
    <x:sheet xmlns:r="http://schemas.openxmlformats.org/officeDocument/2006/relationships" name="Job Ledger" sheetId="2" r:id="R166741f84f2e487d"/>
    <x:sheet xmlns:r="http://schemas.openxmlformats.org/officeDocument/2006/relationships" name="Payment Detail" sheetId="3" r:id="R6c3e338d5a794410"/>
    <x:sheet xmlns:r="http://schemas.openxmlformats.org/officeDocument/2006/relationships" name="Outflows Next" sheetId="4" r:id="R3d3b0b190132402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quot;$&quot;#,##0.00;[Red](&quot;$&quot;#,##0.00);&quot;$&quot;0.00"/>
    <x:numFmt numFmtId="201" formatCode="yyyy-mm-dd"/>
  </x:numFmts>
  <x:fonts count="10">
    <x:font>
      <x:sz val="11"/>
      <x:name val="Carlito"/>
    </x:font>
    <x:font>
      <x:b/>
      <x:sz val="18"/>
      <x:color rgb="FF17313B"/>
      <x:name val="Carlito"/>
    </x:font>
    <x:font>
      <x:sz val="11"/>
      <x:color rgb="FF4F6670"/>
      <x:name val="Carlito"/>
    </x:font>
    <x:font>
      <x:b/>
      <x:sz val="11"/>
      <x:color rgb="FFFFFFFF"/>
      <x:name val="Carlito"/>
    </x:font>
    <x:font>
      <x:b/>
      <x:sz val="11"/>
      <x:color rgb="FF6E4D00"/>
      <x:name val="Carlito"/>
    </x:font>
    <x:font>
      <x:b/>
      <x:sz val="18"/>
      <x:color rgb="FF17313B"/>
      <x:name val="Aptos"/>
    </x:font>
    <x:font>
      <x:sz val="11"/>
      <x:name val="Aptos"/>
    </x:font>
    <x:font>
      <x:sz val="11"/>
      <x:color rgb="FF4F6670"/>
      <x:name val="Aptos"/>
    </x:font>
    <x:font>
      <x:b/>
      <x:sz val="11"/>
      <x:color rgb="FFFFFFFF"/>
      <x:name val="Aptos"/>
    </x:font>
    <x:font>
      <x:b/>
      <x:sz val="11"/>
      <x:color rgb="FF6E4D00"/>
      <x:name val="Aptos"/>
    </x:font>
  </x:fonts>
  <x:fills count="5">
    <x:fill>
      <x:patternFill patternType="none"/>
    </x:fill>
    <x:fill>
      <x:patternFill patternType="gray125"/>
    </x:fill>
    <x:fill>
      <x:patternFill patternType="solid">
        <x:fgColor rgb="FFEAF3F6"/>
      </x:patternFill>
    </x:fill>
    <x:fill>
      <x:patternFill patternType="solid">
        <x:fgColor rgb="FF1F4E5F"/>
      </x:patternFill>
    </x:fill>
    <x:fill>
      <x:patternFill patternType="solid">
        <x:fgColor rgb="FFFFF4DE"/>
      </x:patternFill>
    </x:fill>
  </x:fills>
  <x:borders count="4">
    <x:border/>
    <x:border>
      <x:top style="thin">
        <x:color rgb="FF9FB7C3"/>
      </x:top>
      <x:bottom style="thin">
        <x:color rgb="FFD9E2E7"/>
      </x:bottom>
    </x:border>
    <x:border>
      <x:top style="thin">
        <x:color rgb="FFD9E2E7"/>
      </x:top>
      <x:bottom style="thin">
        <x:color rgb="FFD9E2E7"/>
      </x:bottom>
    </x:border>
    <x:border>
      <x:top style="thin">
        <x:color rgb="FFD9E2E7"/>
      </x:top>
      <x:bottom style="thin">
        <x:color rgb="FF9FB7C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200" fontId="0" fillId="0" borderId="0" xfId="0" applyNumberFormat="1" applyFont="1" applyFill="1" applyBorder="1"/>
    <x:xf numFmtId="200" fontId="0" fillId="0" borderId="2" xfId="0" applyNumberFormat="1" applyFont="1" applyFill="1" applyBorder="1"/>
    <x:xf numFmtId="200" fontId="0" fillId="0" borderId="3"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5" fillId="2" borderId="0" xfId="0" applyNumberFormat="1" applyFont="1" applyFill="1" applyBorder="1"/>
    <x:xf numFmtId="0" fontId="6" fillId="0" borderId="0" xfId="0" applyNumberFormat="1" applyFont="1" applyFill="1" applyBorder="1"/>
    <x:xf numFmtId="0" fontId="7" fillId="2" borderId="0" xfId="0" applyNumberFormat="1" applyFont="1" applyFill="1" applyBorder="1"/>
    <x:xf numFmtId="0" fontId="8" fillId="3" borderId="1" xfId="0" applyNumberFormat="1" applyFont="1" applyFill="1" applyBorder="1" applyAlignment="1">
      <x:alignment vertical="center" wrapText="1"/>
    </x:xf>
    <x:xf numFmtId="0" fontId="6" fillId="0" borderId="2" xfId="0" applyNumberFormat="1" applyFont="1" applyFill="1" applyBorder="1"/>
    <x:xf numFmtId="200" fontId="6" fillId="0" borderId="2" xfId="0" applyNumberFormat="1" applyFont="1" applyFill="1" applyBorder="1"/>
    <x:xf numFmtId="0" fontId="6" fillId="0" borderId="3" xfId="0" applyNumberFormat="1" applyFont="1" applyFill="1" applyBorder="1"/>
    <x:xf numFmtId="200" fontId="6" fillId="0" borderId="3" xfId="0" applyNumberFormat="1" applyFont="1" applyFill="1" applyBorder="1"/>
    <x:xf numFmtId="0" fontId="9" fillId="4" borderId="0" xfId="0" applyNumberFormat="1" applyFont="1" applyFill="1" applyBorder="1" applyAlignment="1">
      <x:alignment wrapText="1"/>
    </x:xf>
    <x:xf numFmtId="201" fontId="0" fillId="0" borderId="0" xfId="0" applyNumberFormat="1" applyFont="1" applyFill="1" applyBorder="1"/>
    <x:xf numFmtId="201" fontId="0" fillId="0" borderId="2" xfId="0" applyNumberFormat="1" applyFont="1" applyFill="1" applyBorder="1"/>
    <x:xf numFmtId="201" fontId="0" fillId="0" borderId="3"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55e1b1656b48ab" /><Relationship Type="http://schemas.openxmlformats.org/officeDocument/2006/relationships/theme" Target="/xl/theme/theme1.xml" Id="R52092c944f124501" /><Relationship Type="http://schemas.openxmlformats.org/officeDocument/2006/relationships/sharedStrings" Target="/xl/sharedStrings.xml" Id="R540ae6d4a8834f1b" /><Relationship Type="http://schemas.openxmlformats.org/officeDocument/2006/relationships/worksheet" Target="/xl/worksheets/sheet1.xml" Id="R75b54e354a844d91" /><Relationship Type="http://schemas.openxmlformats.org/officeDocument/2006/relationships/worksheet" Target="/xl/worksheets/sheet2.xml" Id="R166741f84f2e487d" /><Relationship Type="http://schemas.openxmlformats.org/officeDocument/2006/relationships/worksheet" Target="/xl/worksheets/sheet3.xml" Id="R6c3e338d5a794410" /><Relationship Type="http://schemas.openxmlformats.org/officeDocument/2006/relationships/worksheet" Target="/xl/worksheets/sheet4.xml" Id="R3d3b0b19013240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3" hidden="0" customWidth="1"/>
    <x:col min="4" max="4" width="28" hidden="0" customWidth="1"/>
    <x:col min="5" max="5" width="18" hidden="0" customWidth="1"/>
    <x:col min="6" max="6" width="3" hidden="0" customWidth="1"/>
    <x:col min="7" max="7" width="24" hidden="0" customWidth="1"/>
    <x:col min="8" max="8" width="24" hidden="0" customWidth="1"/>
  </x:cols>
  <x:sheetData>
    <x:row r="1">
      <x:c r="A1" s="17" t="str">
        <x:v>805 Bank Reconciliation Start</x:v>
      </x:c>
      <x:c r="B1" s="18"/>
      <x:c r="C1" s="18"/>
      <x:c r="D1" s="18"/>
      <x:c r="E1" s="18"/>
      <x:c r="F1" s="18"/>
      <x:c r="G1" s="18"/>
      <x:c r="H1" s="18"/>
    </x:row>
    <x:row r="2">
      <x:c r="A2" s="19" t="str">
        <x:v>Source: MTS production 805 quote bookkeeping account. Extracted 2026-06-21T05:02:43.605Z.</x:v>
      </x:c>
      <x:c r="B2" s="18"/>
      <x:c r="C2" s="18"/>
      <x:c r="D2" s="18"/>
      <x:c r="E2" s="18"/>
      <x:c r="F2" s="18"/>
      <x:c r="G2" s="18"/>
      <x:c r="H2" s="18"/>
    </x:row>
    <x:row r="3">
      <x:c r="A3" s="18"/>
      <x:c r="B3" s="18"/>
      <x:c r="C3" s="18"/>
      <x:c r="D3" s="18"/>
      <x:c r="E3" s="18"/>
      <x:c r="F3" s="18"/>
      <x:c r="G3" s="18"/>
      <x:c r="H3" s="18"/>
    </x:row>
    <x:row r="4">
      <x:c r="A4" s="20" t="str">
        <x:v>Ledger Scope</x:v>
      </x:c>
      <x:c r="B4" s="20" t="str">
        <x:v>Count</x:v>
      </x:c>
      <x:c r="C4" s="18"/>
      <x:c r="D4" s="20" t="str">
        <x:v>Starting Money Ledger</x:v>
      </x:c>
      <x:c r="E4" s="20" t="str">
        <x:v>Amount</x:v>
      </x:c>
      <x:c r="F4" s="18"/>
      <x:c r="G4" s="18"/>
      <x:c r="H4" s="18"/>
    </x:row>
    <x:row r="5">
      <x:c r="A5" s="21" t="str">
        <x:v>Sold order rows</x:v>
      </x:c>
      <x:c r="B5" s="21" t="n">
        <x:v>35</x:v>
      </x:c>
      <x:c r="C5" s="18"/>
      <x:c r="D5" s="21" t="str">
        <x:v>Sale totals</x:v>
      </x:c>
      <x:c r="E5" s="22" t="n">
        <x:f>SUM('Job Ledger'!$G$2:$G$500)</x:f>
        <x:v>109035.33</x:v>
      </x:c>
      <x:c r="F5" s="18"/>
      <x:c r="G5" s="18"/>
      <x:c r="H5" s="18"/>
    </x:row>
    <x:row r="6">
      <x:c r="A6" s="21" t="str">
        <x:v>CRM sold quote rows</x:v>
      </x:c>
      <x:c r="B6" s="21" t="n">
        <x:v>21</x:v>
      </x:c>
      <x:c r="C6" s="18"/>
      <x:c r="D6" s="21" t="str">
        <x:v>Customer deposits</x:v>
      </x:c>
      <x:c r="E6" s="22" t="n">
        <x:f>SUM('Job Ledger'!$I$2:$I$500)</x:f>
        <x:v>39488.020000000004</x:v>
      </x:c>
      <x:c r="F6" s="18"/>
      <x:c r="G6" s="18"/>
      <x:c r="H6" s="18"/>
    </x:row>
    <x:row r="7">
      <x:c r="A7" s="21" t="str">
        <x:v>Legacy/imported bookkeeper rows</x:v>
      </x:c>
      <x:c r="B7" s="21" t="n">
        <x:v>14</x:v>
      </x:c>
      <x:c r="C7" s="18"/>
      <x:c r="D7" s="21" t="str">
        <x:v>Other customer payments</x:v>
      </x:c>
      <x:c r="E7" s="22" t="n">
        <x:f>SUM('Job Ledger'!$J$2:$J$500)</x:f>
        <x:v>14107.5</x:v>
      </x:c>
      <x:c r="F7" s="18"/>
      <x:c r="G7" s="18"/>
      <x:c r="H7" s="18"/>
    </x:row>
    <x:row r="8">
      <x:c r="A8" s="21" t="str">
        <x:v>Payment detail rows</x:v>
      </x:c>
      <x:c r="B8" s="21" t="n">
        <x:v>37</x:v>
      </x:c>
      <x:c r="C8" s="18"/>
      <x:c r="D8" s="21" t="str">
        <x:v>Actual customer money in</x:v>
      </x:c>
      <x:c r="E8" s="22" t="n">
        <x:f>SUM('Job Ledger'!$K$2:$K$500)</x:f>
        <x:v>53595.520000000004</x:v>
      </x:c>
      <x:c r="F8" s="18"/>
      <x:c r="G8" s="18"/>
      <x:c r="H8" s="18"/>
    </x:row>
    <x:row r="9">
      <x:c r="A9" s="21" t="str">
        <x:v>Synthetic fallback payment rows</x:v>
      </x:c>
      <x:c r="B9" s="21" t="n">
        <x:v>0</x:v>
      </x:c>
      <x:c r="C9" s="18"/>
      <x:c r="D9" s="21" t="str">
        <x:v>Credits applied</x:v>
      </x:c>
      <x:c r="E9" s="22" t="n">
        <x:f>SUM('Job Ledger'!$L$2:$L$500)-SUM('Job Ledger'!$M$2:$M$500)</x:f>
        <x:v>0</x:v>
      </x:c>
      <x:c r="F9" s="18"/>
      <x:c r="G9" s="18"/>
      <x:c r="H9" s="18"/>
    </x:row>
    <x:row r="10">
      <x:c r="A10" s="23" t="str">
        <x:v>Credits rows in source</x:v>
      </x:c>
      <x:c r="B10" s="23" t="n">
        <x:v>0</x:v>
      </x:c>
      <x:c r="C10" s="18"/>
      <x:c r="D10" s="23" t="str">
        <x:v>Open customer balance</x:v>
      </x:c>
      <x:c r="E10" s="24" t="n">
        <x:f>SUM('Job Ledger'!$N$2:$N$500)</x:f>
        <x:v>55439.810000000005</x:v>
      </x:c>
      <x:c r="F10" s="18"/>
      <x:c r="G10" s="18"/>
      <x:c r="H10" s="18"/>
    </x:row>
    <x:row r="11">
      <x:c r="A11" s="18"/>
      <x:c r="B11" s="18"/>
      <x:c r="C11" s="18"/>
      <x:c r="D11" s="18"/>
      <x:c r="E11" s="18"/>
      <x:c r="F11" s="18"/>
      <x:c r="G11" s="18"/>
      <x:c r="H11" s="18"/>
    </x:row>
    <x:row r="12">
      <x:c r="A12" s="18"/>
      <x:c r="B12" s="18"/>
      <x:c r="C12" s="18"/>
      <x:c r="D12" s="18"/>
      <x:c r="E12" s="18"/>
      <x:c r="F12" s="18"/>
      <x:c r="G12" s="18"/>
      <x:c r="H12" s="18"/>
    </x:row>
    <x:row r="13">
      <x:c r="A13" s="25" t="str">
        <x:v>Next phase placeholder: add money paid out by job below, then compare calculated bank ledger to actual bank balance.</x:v>
      </x:c>
      <x:c r="B13" s="18"/>
      <x:c r="C13" s="18"/>
      <x:c r="D13" s="18"/>
      <x:c r="E13" s="18"/>
      <x:c r="F13" s="18"/>
      <x:c r="G13" s="18"/>
      <x:c r="H13" s="18"/>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8" hidden="0" customWidth="1"/>
    <x:col min="4" max="4" width="15" hidden="0" customWidth="1"/>
    <x:col min="5" max="5" width="12" hidden="0" customWidth="1"/>
    <x:col min="6" max="6" width="13" hidden="0" customWidth="1"/>
    <x:col min="7" max="7" width="14" hidden="0" customWidth="1"/>
    <x:col min="8" max="8" width="15" hidden="0" customWidth="1"/>
    <x:col min="9" max="9" width="16" hidden="0" customWidth="1"/>
    <x:col min="10" max="10" width="18" hidden="0" customWidth="1"/>
    <x:col min="11" max="11" width="18" hidden="0" customWidth="1"/>
    <x:col min="12" max="12" width="13" hidden="0" customWidth="1"/>
    <x:col min="13" max="13" width="13" hidden="0" customWidth="1"/>
    <x:col min="14" max="14" width="18" hidden="0" customWidth="1"/>
    <x:col min="15" max="15" width="12" hidden="0" customWidth="1"/>
    <x:col min="16" max="16" width="14" hidden="0" customWidth="1"/>
    <x:col min="17" max="17" width="12" hidden="0" customWidth="1"/>
    <x:col min="18" max="18" width="14" hidden="0" customWidth="1"/>
    <x:col min="19" max="19" width="38" hidden="0" customWidth="1"/>
    <x:col min="20" max="20" width="38" hidden="0" customWidth="1"/>
  </x:cols>
  <x:sheetData>
    <x:row r="1" ht="34" customHeight="1">
      <x:c r="A1" s="8" t="str">
        <x:v>Row Key</x:v>
      </x:c>
      <x:c r="B1" s="8" t="str">
        <x:v>Customer</x:v>
      </x:c>
      <x:c r="C1" s="8" t="str">
        <x:v>Quote / Sheet Row</x:v>
      </x:c>
      <x:c r="D1" s="8" t="str">
        <x:v>Source</x:v>
      </x:c>
      <x:c r="E1" s="8" t="str">
        <x:v>Status</x:v>
      </x:c>
      <x:c r="F1" s="8" t="str">
        <x:v>Sold Date</x:v>
      </x:c>
      <x:c r="G1" s="8" t="str">
        <x:v>Sale Total</x:v>
      </x:c>
      <x:c r="H1" s="8" t="str">
        <x:v>Deposit Due (50%)</x:v>
      </x:c>
      <x:c r="I1" s="8" t="str">
        <x:v>Customer Deposits</x:v>
      </x:c>
      <x:c r="J1" s="8" t="str">
        <x:v>Other Customer Payments</x:v>
      </x:c>
      <x:c r="K1" s="8" t="str">
        <x:v>Actual Customer Money In</x:v>
      </x:c>
      <x:c r="L1" s="8" t="str">
        <x:v>Credits In</x:v>
      </x:c>
      <x:c r="M1" s="8" t="str">
        <x:v>Credits Out</x:v>
      </x:c>
      <x:c r="N1" s="8" t="str">
        <x:v>Open Customer Balance</x:v>
      </x:c>
      <x:c r="O1" s="8" t="str">
        <x:v>Payment Count</x:v>
      </x:c>
      <x:c r="P1" s="8" t="str">
        <x:v>Payment Type</x:v>
      </x:c>
      <x:c r="Q1" s="8" t="str">
        <x:v>Sales Owner</x:v>
      </x:c>
      <x:c r="R1" s="8" t="str">
        <x:v>COGS Current</x:v>
      </x:c>
      <x:c r="S1" s="8" t="str">
        <x:v>Notes</x:v>
      </x:c>
      <x:c r="T1" s="8" t="str">
        <x:v>Source ID</x:v>
      </x:c>
    </x:row>
    <x:row r="2">
      <x:c r="A2" s="9" t="str">
        <x:v>quote:d7675858-a5bb-4b16-8175-629470546360</x:v>
      </x:c>
      <x:c r="B2" s="9" t="str">
        <x:v>Lynne Hofflund</x:v>
      </x:c>
      <x:c r="C2" s="9" t="str">
        <x:v>805-0062</x:v>
      </x:c>
      <x:c r="D2" s="9" t="str">
        <x:v>crm_quote</x:v>
      </x:c>
      <x:c r="E2" s="9" t="str">
        <x:v>sold</x:v>
      </x:c>
      <x:c r="F2" s="27" t="n">
        <x:v>46193</x:v>
      </x:c>
      <x:c r="G2" s="12" t="n">
        <x:v>981</x:v>
      </x:c>
      <x:c r="H2" s="12" t="n">
        <x:v>490.5</x:v>
      </x:c>
      <x:c r="I2" s="12" t="n">
        <x:f>SUMIFS('Payment Detail'!$G$2:$G$1000,'Payment Detail'!$A$2:$A$1000,$A2,'Payment Detail'!$H$2:$H$1000,"Yes")</x:f>
        <x:v>0</x:v>
      </x:c>
      <x:c r="J2" s="12" t="n">
        <x:f>SUMIFS('Payment Detail'!$G$2:$G$1000,'Payment Detail'!$A$2:$A$1000,$A2,'Payment Detail'!$H$2:$H$1000,"No")</x:f>
        <x:v>0</x:v>
      </x:c>
      <x:c r="K2" s="12" t="n">
        <x:f>I2+J2</x:f>
        <x:v>0</x:v>
      </x:c>
      <x:c r="L2" s="12" t="n">
        <x:v>0</x:v>
      </x:c>
      <x:c r="M2" s="12" t="n">
        <x:v>0</x:v>
      </x:c>
      <x:c r="N2" s="12" t="n">
        <x:f>G2-K2-L2+M2</x:f>
        <x:v>981</x:v>
      </x:c>
      <x:c r="O2" s="9" t="n">
        <x:f>COUNTIF('Payment Detail'!$A$2:$A$1000,$A2)</x:f>
        <x:v>0</x:v>
      </x:c>
      <x:c r="P2" s="9" t="str"/>
      <x:c r="Q2" s="9" t="str">
        <x:v>jessica</x:v>
      </x:c>
      <x:c r="R2" s="12" t="n">
        <x:v>0</x:v>
      </x:c>
      <x:c r="S2" s="9" t="str"/>
      <x:c r="T2" s="9" t="str">
        <x:v>d7675858-a5bb-4b16-8175-629470546360</x:v>
      </x:c>
    </x:row>
    <x:row r="3">
      <x:c r="A3" s="9" t="str">
        <x:v>quote:7a7b478a-22ad-49b4-8efe-6307cb64a0de</x:v>
      </x:c>
      <x:c r="B3" s="9" t="str">
        <x:v>Michelle Saucedo</x:v>
      </x:c>
      <x:c r="C3" s="9" t="str">
        <x:v>805-0061</x:v>
      </x:c>
      <x:c r="D3" s="9" t="str">
        <x:v>crm_quote</x:v>
      </x:c>
      <x:c r="E3" s="9" t="str">
        <x:v>sold</x:v>
      </x:c>
      <x:c r="F3" s="27" t="n">
        <x:v>46192</x:v>
      </x:c>
      <x:c r="G3" s="12" t="n">
        <x:v>819</x:v>
      </x:c>
      <x:c r="H3" s="12" t="n">
        <x:v>409.5</x:v>
      </x:c>
      <x:c r="I3" s="12" t="n">
        <x:f>SUMIFS('Payment Detail'!$G$2:$G$1000,'Payment Detail'!$A$2:$A$1000,$A3,'Payment Detail'!$H$2:$H$1000,"Yes")</x:f>
        <x:v>0</x:v>
      </x:c>
      <x:c r="J3" s="12" t="n">
        <x:f>SUMIFS('Payment Detail'!$G$2:$G$1000,'Payment Detail'!$A$2:$A$1000,$A3,'Payment Detail'!$H$2:$H$1000,"No")</x:f>
        <x:v>0</x:v>
      </x:c>
      <x:c r="K3" s="12" t="n">
        <x:f>I3+J3</x:f>
        <x:v>0</x:v>
      </x:c>
      <x:c r="L3" s="12" t="n">
        <x:v>0</x:v>
      </x:c>
      <x:c r="M3" s="12" t="n">
        <x:v>0</x:v>
      </x:c>
      <x:c r="N3" s="12" t="n">
        <x:f>G3-K3-L3+M3</x:f>
        <x:v>819</x:v>
      </x:c>
      <x:c r="O3" s="9" t="n">
        <x:f>COUNTIF('Payment Detail'!$A$2:$A$1000,$A3)</x:f>
        <x:v>0</x:v>
      </x:c>
      <x:c r="P3" s="9" t="str"/>
      <x:c r="Q3" s="9" t="str">
        <x:v>jessica</x:v>
      </x:c>
      <x:c r="R3" s="12" t="n">
        <x:v>0</x:v>
      </x:c>
      <x:c r="S3" s="9" t="str"/>
      <x:c r="T3" s="9" t="str">
        <x:v>7a7b478a-22ad-49b4-8efe-6307cb64a0de</x:v>
      </x:c>
    </x:row>
    <x:row r="4">
      <x:c r="A4" s="9" t="str">
        <x:v>quote:f07aaebd-10ad-4a36-a167-cb66843396f3</x:v>
      </x:c>
      <x:c r="B4" s="9" t="str">
        <x:v>Denise Derenthal</x:v>
      </x:c>
      <x:c r="C4" s="9" t="str">
        <x:v>805-0050</x:v>
      </x:c>
      <x:c r="D4" s="9" t="str">
        <x:v>crm_quote</x:v>
      </x:c>
      <x:c r="E4" s="9" t="str">
        <x:v>sold</x:v>
      </x:c>
      <x:c r="F4" s="27" t="n">
        <x:v>46184</x:v>
      </x:c>
      <x:c r="G4" s="12" t="n">
        <x:v>2033</x:v>
      </x:c>
      <x:c r="H4" s="12" t="n">
        <x:v>1016.5</x:v>
      </x:c>
      <x:c r="I4" s="12" t="n">
        <x:f>SUMIFS('Payment Detail'!$G$2:$G$1000,'Payment Detail'!$A$2:$A$1000,$A4,'Payment Detail'!$H$2:$H$1000,"Yes")</x:f>
        <x:v>0</x:v>
      </x:c>
      <x:c r="J4" s="12" t="n">
        <x:f>SUMIFS('Payment Detail'!$G$2:$G$1000,'Payment Detail'!$A$2:$A$1000,$A4,'Payment Detail'!$H$2:$H$1000,"No")</x:f>
        <x:v>0</x:v>
      </x:c>
      <x:c r="K4" s="12" t="n">
        <x:f>I4+J4</x:f>
        <x:v>0</x:v>
      </x:c>
      <x:c r="L4" s="12" t="n">
        <x:v>0</x:v>
      </x:c>
      <x:c r="M4" s="12" t="n">
        <x:v>0</x:v>
      </x:c>
      <x:c r="N4" s="12" t="n">
        <x:f>G4-K4-L4+M4</x:f>
        <x:v>2033</x:v>
      </x:c>
      <x:c r="O4" s="9" t="n">
        <x:f>COUNTIF('Payment Detail'!$A$2:$A$1000,$A4)</x:f>
        <x:v>0</x:v>
      </x:c>
      <x:c r="P4" s="9" t="str"/>
      <x:c r="Q4" s="9" t="str">
        <x:v>jessica</x:v>
      </x:c>
      <x:c r="R4" s="12" t="n">
        <x:v>0</x:v>
      </x:c>
      <x:c r="S4" s="9" t="str"/>
      <x:c r="T4" s="9" t="str">
        <x:v>f07aaebd-10ad-4a36-a167-cb66843396f3</x:v>
      </x:c>
    </x:row>
    <x:row r="5">
      <x:c r="A5" s="9" t="str">
        <x:v>quote:e105aa34-fbb4-4b31-b063-8d7816035c9f</x:v>
      </x:c>
      <x:c r="B5" s="9" t="str">
        <x:v>Kristen Tranquada</x:v>
      </x:c>
      <x:c r="C5" s="9" t="str">
        <x:v>805-0047</x:v>
      </x:c>
      <x:c r="D5" s="9" t="str">
        <x:v>crm_quote</x:v>
      </x:c>
      <x:c r="E5" s="9" t="str">
        <x:v>sold</x:v>
      </x:c>
      <x:c r="F5" s="27" t="n">
        <x:v>46177</x:v>
      </x:c>
      <x:c r="G5" s="12" t="n">
        <x:v>3180</x:v>
      </x:c>
      <x:c r="H5" s="12" t="n">
        <x:v>1590</x:v>
      </x:c>
      <x:c r="I5" s="12" t="n">
        <x:f>SUMIFS('Payment Detail'!$G$2:$G$1000,'Payment Detail'!$A$2:$A$1000,$A5,'Payment Detail'!$H$2:$H$1000,"Yes")</x:f>
        <x:v>0</x:v>
      </x:c>
      <x:c r="J5" s="12" t="n">
        <x:f>SUMIFS('Payment Detail'!$G$2:$G$1000,'Payment Detail'!$A$2:$A$1000,$A5,'Payment Detail'!$H$2:$H$1000,"No")</x:f>
        <x:v>0</x:v>
      </x:c>
      <x:c r="K5" s="12" t="n">
        <x:f>I5+J5</x:f>
        <x:v>0</x:v>
      </x:c>
      <x:c r="L5" s="12" t="n">
        <x:v>0</x:v>
      </x:c>
      <x:c r="M5" s="12" t="n">
        <x:v>0</x:v>
      </x:c>
      <x:c r="N5" s="12" t="n">
        <x:f>G5-K5-L5+M5</x:f>
        <x:v>3180</x:v>
      </x:c>
      <x:c r="O5" s="9" t="n">
        <x:f>COUNTIF('Payment Detail'!$A$2:$A$1000,$A5)</x:f>
        <x:v>0</x:v>
      </x:c>
      <x:c r="P5" s="9" t="str"/>
      <x:c r="Q5" s="9" t="str"/>
      <x:c r="R5" s="12" t="n">
        <x:v>0</x:v>
      </x:c>
      <x:c r="S5" s="9" t="str"/>
      <x:c r="T5" s="9" t="str">
        <x:v>e105aa34-fbb4-4b31-b063-8d7816035c9f</x:v>
      </x:c>
    </x:row>
    <x:row r="6">
      <x:c r="A6" s="9" t="str">
        <x:v>quote:6bcbcd23-6630-4fdd-8233-35782e7698a5</x:v>
      </x:c>
      <x:c r="B6" s="9" t="str">
        <x:v>Christine Mier</x:v>
      </x:c>
      <x:c r="C6" s="9" t="str">
        <x:v>805-0044</x:v>
      </x:c>
      <x:c r="D6" s="9" t="str">
        <x:v>crm_quote</x:v>
      </x:c>
      <x:c r="E6" s="9" t="str">
        <x:v>sold</x:v>
      </x:c>
      <x:c r="F6" s="27" t="n">
        <x:v>46171</x:v>
      </x:c>
      <x:c r="G6" s="12" t="n">
        <x:v>5055.1</x:v>
      </x:c>
      <x:c r="H6" s="12" t="n">
        <x:v>2527.55</x:v>
      </x:c>
      <x:c r="I6" s="12" t="n">
        <x:f>SUMIFS('Payment Detail'!$G$2:$G$1000,'Payment Detail'!$A$2:$A$1000,$A6,'Payment Detail'!$H$2:$H$1000,"Yes")</x:f>
        <x:v>0</x:v>
      </x:c>
      <x:c r="J6" s="12" t="n">
        <x:f>SUMIFS('Payment Detail'!$G$2:$G$1000,'Payment Detail'!$A$2:$A$1000,$A6,'Payment Detail'!$H$2:$H$1000,"No")</x:f>
        <x:v>0</x:v>
      </x:c>
      <x:c r="K6" s="12" t="n">
        <x:f>I6+J6</x:f>
        <x:v>0</x:v>
      </x:c>
      <x:c r="L6" s="12" t="n">
        <x:v>0</x:v>
      </x:c>
      <x:c r="M6" s="12" t="n">
        <x:v>0</x:v>
      </x:c>
      <x:c r="N6" s="12" t="n">
        <x:f>G6-K6-L6+M6</x:f>
        <x:v>5055.1</x:v>
      </x:c>
      <x:c r="O6" s="9" t="n">
        <x:f>COUNTIF('Payment Detail'!$A$2:$A$1000,$A6)</x:f>
        <x:v>0</x:v>
      </x:c>
      <x:c r="P6" s="9" t="str"/>
      <x:c r="Q6" s="9" t="str"/>
      <x:c r="R6" s="12" t="n">
        <x:v>2429.83</x:v>
      </x:c>
      <x:c r="S6" s="9" t="str"/>
      <x:c r="T6" s="9" t="str">
        <x:v>6bcbcd23-6630-4fdd-8233-35782e7698a5</x:v>
      </x:c>
    </x:row>
    <x:row r="7">
      <x:c r="A7" s="9" t="str">
        <x:v>quote:c12f409a-0e8a-4f95-a93a-e5ec5f93feb1</x:v>
      </x:c>
      <x:c r="B7" s="9" t="str">
        <x:v>Kahn, Andrew</x:v>
      </x:c>
      <x:c r="C7" s="9" t="str">
        <x:v>805-0023</x:v>
      </x:c>
      <x:c r="D7" s="9" t="str">
        <x:v>crm_quote</x:v>
      </x:c>
      <x:c r="E7" s="9" t="str">
        <x:v>sold</x:v>
      </x:c>
      <x:c r="F7" s="27" t="n">
        <x:v>46171</x:v>
      </x:c>
      <x:c r="G7" s="12" t="n">
        <x:v>1408</x:v>
      </x:c>
      <x:c r="H7" s="12" t="n">
        <x:v>704</x:v>
      </x:c>
      <x:c r="I7" s="12" t="n">
        <x:f>SUMIFS('Payment Detail'!$G$2:$G$1000,'Payment Detail'!$A$2:$A$1000,$A7,'Payment Detail'!$H$2:$H$1000,"Yes")</x:f>
        <x:v>0</x:v>
      </x:c>
      <x:c r="J7" s="12" t="n">
        <x:f>SUMIFS('Payment Detail'!$G$2:$G$1000,'Payment Detail'!$A$2:$A$1000,$A7,'Payment Detail'!$H$2:$H$1000,"No")</x:f>
        <x:v>0</x:v>
      </x:c>
      <x:c r="K7" s="12" t="n">
        <x:f>I7+J7</x:f>
        <x:v>0</x:v>
      </x:c>
      <x:c r="L7" s="12" t="n">
        <x:v>0</x:v>
      </x:c>
      <x:c r="M7" s="12" t="n">
        <x:v>0</x:v>
      </x:c>
      <x:c r="N7" s="12" t="n">
        <x:f>G7-K7-L7+M7</x:f>
        <x:v>1408</x:v>
      </x:c>
      <x:c r="O7" s="9" t="n">
        <x:f>COUNTIF('Payment Detail'!$A$2:$A$1000,$A7)</x:f>
        <x:v>0</x:v>
      </x:c>
      <x:c r="P7" s="9" t="str"/>
      <x:c r="Q7" s="9" t="str"/>
      <x:c r="R7" s="12" t="n">
        <x:v>0</x:v>
      </x:c>
      <x:c r="S7" s="9" t="str"/>
      <x:c r="T7" s="9" t="str">
        <x:v>c12f409a-0e8a-4f95-a93a-e5ec5f93feb1</x:v>
      </x:c>
    </x:row>
    <x:row r="8">
      <x:c r="A8" s="9" t="str">
        <x:v>quote:f76c03ad-5e0d-4a01-b4ee-abe47d962861</x:v>
      </x:c>
      <x:c r="B8" s="9" t="str">
        <x:v>Monsi, Magana</x:v>
      </x:c>
      <x:c r="C8" s="9" t="str">
        <x:v>805-0028</x:v>
      </x:c>
      <x:c r="D8" s="9" t="str">
        <x:v>crm_quote</x:v>
      </x:c>
      <x:c r="E8" s="9" t="str">
        <x:v>sold</x:v>
      </x:c>
      <x:c r="F8" s="27" t="n">
        <x:v>46171</x:v>
      </x:c>
      <x:c r="G8" s="12" t="n">
        <x:v>1314</x:v>
      </x:c>
      <x:c r="H8" s="12" t="n">
        <x:v>657</x:v>
      </x:c>
      <x:c r="I8" s="12" t="n">
        <x:f>SUMIFS('Payment Detail'!$G$2:$G$1000,'Payment Detail'!$A$2:$A$1000,$A8,'Payment Detail'!$H$2:$H$1000,"Yes")</x:f>
        <x:v>857</x:v>
      </x:c>
      <x:c r="J8" s="12" t="n">
        <x:f>SUMIFS('Payment Detail'!$G$2:$G$1000,'Payment Detail'!$A$2:$A$1000,$A8,'Payment Detail'!$H$2:$H$1000,"No")</x:f>
        <x:v>0</x:v>
      </x:c>
      <x:c r="K8" s="12" t="n">
        <x:f>I8+J8</x:f>
        <x:v>857</x:v>
      </x:c>
      <x:c r="L8" s="12" t="n">
        <x:v>0</x:v>
      </x:c>
      <x:c r="M8" s="12" t="n">
        <x:v>0</x:v>
      </x:c>
      <x:c r="N8" s="12" t="n">
        <x:f>G8-K8-L8+M8</x:f>
        <x:v>457</x:v>
      </x:c>
      <x:c r="O8" s="9" t="n">
        <x:f>COUNTIF('Payment Detail'!$A$2:$A$1000,$A8)</x:f>
        <x:v>1</x:v>
      </x:c>
      <x:c r="P8" s="9" t="str"/>
      <x:c r="Q8" s="9" t="str"/>
      <x:c r="R8" s="12" t="n">
        <x:v>815.4</x:v>
      </x:c>
      <x:c r="S8" s="9" t="str">
        <x:v>{"__customerEmailNote":"Hi Magana,\n\nGoing to be very open with you on this one. My cost on this project is $815 from the manufacturer. I need to charge $500 on this project. Your price of $1315 includes tax and installation for you, but I still have to pay those, so my profit on this is actually more like $300. I typically wouldn't be this upfront and transparent but it's a small job, and they're expensive so I felt like I should explain. \n\nPlease feel free to reach out anytime to discuss further. 805-298-5555\n\nMike"}</x:v>
      </x:c>
      <x:c r="T8" s="9" t="str">
        <x:v>f76c03ad-5e0d-4a01-b4ee-abe47d962861</x:v>
      </x:c>
    </x:row>
    <x:row r="9">
      <x:c r="A9" s="9" t="str">
        <x:v>quote:c9e90198-a655-4cd5-a635-9386bdb3a552</x:v>
      </x:c>
      <x:c r="B9" s="9" t="str">
        <x:v>Laura McCarren</x:v>
      </x:c>
      <x:c r="C9" s="9" t="str">
        <x:v>805-0038</x:v>
      </x:c>
      <x:c r="D9" s="9" t="str">
        <x:v>crm_quote</x:v>
      </x:c>
      <x:c r="E9" s="9" t="str">
        <x:v>sold</x:v>
      </x:c>
      <x:c r="F9" s="27" t="n">
        <x:v>46170</x:v>
      </x:c>
      <x:c r="G9" s="12" t="n">
        <x:v>3205.12</x:v>
      </x:c>
      <x:c r="H9" s="12" t="n">
        <x:v>1602.56</x:v>
      </x:c>
      <x:c r="I9" s="12" t="n">
        <x:f>SUMIFS('Payment Detail'!$G$2:$G$1000,'Payment Detail'!$A$2:$A$1000,$A9,'Payment Detail'!$H$2:$H$1000,"Yes")</x:f>
        <x:v>1602</x:v>
      </x:c>
      <x:c r="J9" s="12" t="n">
        <x:f>SUMIFS('Payment Detail'!$G$2:$G$1000,'Payment Detail'!$A$2:$A$1000,$A9,'Payment Detail'!$H$2:$H$1000,"No")</x:f>
        <x:v>0</x:v>
      </x:c>
      <x:c r="K9" s="12" t="n">
        <x:f>I9+J9</x:f>
        <x:v>1602</x:v>
      </x:c>
      <x:c r="L9" s="12" t="n">
        <x:v>0</x:v>
      </x:c>
      <x:c r="M9" s="12" t="n">
        <x:v>0</x:v>
      </x:c>
      <x:c r="N9" s="12" t="n">
        <x:f>G9-K9-L9+M9</x:f>
        <x:v>1603.12</x:v>
      </x:c>
      <x:c r="O9" s="9" t="n">
        <x:f>COUNTIF('Payment Detail'!$A$2:$A$1000,$A9)</x:f>
        <x:v>1</x:v>
      </x:c>
      <x:c r="P9" s="9" t="str"/>
      <x:c r="Q9" s="9" t="str">
        <x:v>mike</x:v>
      </x:c>
      <x:c r="R9" s="12" t="n">
        <x:v>1535.55</x:v>
      </x:c>
      <x:c r="S9" s="9" t="str"/>
      <x:c r="T9" s="9" t="str">
        <x:v>c9e90198-a655-4cd5-a635-9386bdb3a552</x:v>
      </x:c>
    </x:row>
    <x:row r="10">
      <x:c r="A10" s="9" t="str">
        <x:v>quote:801b3082-e3eb-4b03-b4c5-df44b71b94a8</x:v>
      </x:c>
      <x:c r="B10" s="9" t="str">
        <x:v>Brian Wright 2</x:v>
      </x:c>
      <x:c r="C10" s="9" t="str">
        <x:v>805-0009</x:v>
      </x:c>
      <x:c r="D10" s="9" t="str">
        <x:v>crm_quote</x:v>
      </x:c>
      <x:c r="E10" s="9" t="str">
        <x:v>sold</x:v>
      </x:c>
      <x:c r="F10" s="27" t="n">
        <x:v>46167</x:v>
      </x:c>
      <x:c r="G10" s="12" t="n">
        <x:v>4771.87</x:v>
      </x:c>
      <x:c r="H10" s="12" t="n">
        <x:v>2385.94</x:v>
      </x:c>
      <x:c r="I10" s="12" t="n">
        <x:f>SUMIFS('Payment Detail'!$G$2:$G$1000,'Payment Detail'!$A$2:$A$1000,$A10,'Payment Detail'!$H$2:$H$1000,"Yes")</x:f>
        <x:v>2386</x:v>
      </x:c>
      <x:c r="J10" s="12" t="n">
        <x:f>SUMIFS('Payment Detail'!$G$2:$G$1000,'Payment Detail'!$A$2:$A$1000,$A10,'Payment Detail'!$H$2:$H$1000,"No")</x:f>
        <x:v>0</x:v>
      </x:c>
      <x:c r="K10" s="12" t="n">
        <x:f>I10+J10</x:f>
        <x:v>2386</x:v>
      </x:c>
      <x:c r="L10" s="12" t="n">
        <x:v>0</x:v>
      </x:c>
      <x:c r="M10" s="12" t="n">
        <x:v>0</x:v>
      </x:c>
      <x:c r="N10" s="12" t="n">
        <x:f>G10-K10-L10+M10</x:f>
        <x:v>2385.87</x:v>
      </x:c>
      <x:c r="O10" s="9" t="n">
        <x:f>COUNTIF('Payment Detail'!$A$2:$A$1000,$A10)</x:f>
        <x:v>1</x:v>
      </x:c>
      <x:c r="P10" s="9" t="str"/>
      <x:c r="Q10" s="9" t="str"/>
      <x:c r="R10" s="12" t="n">
        <x:v>2747.42</x:v>
      </x:c>
      <x:c r="S10" s="9" t="str"/>
      <x:c r="T10" s="9" t="str">
        <x:v>801b3082-e3eb-4b03-b4c5-df44b71b94a8</x:v>
      </x:c>
    </x:row>
    <x:row r="11">
      <x:c r="A11" s="9" t="str">
        <x:v>quote:30dfd44f-e47d-4e93-bebd-eca256d80ce6</x:v>
      </x:c>
      <x:c r="B11" s="9" t="str">
        <x:v>Donna Schnopp</x:v>
      </x:c>
      <x:c r="C11" s="9" t="str">
        <x:v>805-0040</x:v>
      </x:c>
      <x:c r="D11" s="9" t="str">
        <x:v>crm_quote</x:v>
      </x:c>
      <x:c r="E11" s="9" t="str">
        <x:v>sold</x:v>
      </x:c>
      <x:c r="F11" s="27" t="n">
        <x:v>46166</x:v>
      </x:c>
      <x:c r="G11" s="12" t="n">
        <x:v>7710</x:v>
      </x:c>
      <x:c r="H11" s="12" t="n">
        <x:v>3855</x:v>
      </x:c>
      <x:c r="I11" s="12" t="n">
        <x:f>SUMIFS('Payment Detail'!$G$2:$G$1000,'Payment Detail'!$A$2:$A$1000,$A11,'Payment Detail'!$H$2:$H$1000,"Yes")</x:f>
        <x:v>3855</x:v>
      </x:c>
      <x:c r="J11" s="12" t="n">
        <x:f>SUMIFS('Payment Detail'!$G$2:$G$1000,'Payment Detail'!$A$2:$A$1000,$A11,'Payment Detail'!$H$2:$H$1000,"No")</x:f>
        <x:v>0</x:v>
      </x:c>
      <x:c r="K11" s="12" t="n">
        <x:f>I11+J11</x:f>
        <x:v>3855</x:v>
      </x:c>
      <x:c r="L11" s="12" t="n">
        <x:v>0</x:v>
      </x:c>
      <x:c r="M11" s="12" t="n">
        <x:v>0</x:v>
      </x:c>
      <x:c r="N11" s="12" t="n">
        <x:f>G11-K11-L11+M11</x:f>
        <x:v>3855</x:v>
      </x:c>
      <x:c r="O11" s="9" t="n">
        <x:f>COUNTIF('Payment Detail'!$A$2:$A$1000,$A11)</x:f>
        <x:v>1</x:v>
      </x:c>
      <x:c r="P11" s="9" t="str"/>
      <x:c r="Q11" s="9" t="str"/>
      <x:c r="R11" s="12" t="n">
        <x:v>4248.18</x:v>
      </x:c>
      <x:c r="S11" s="9" t="str"/>
      <x:c r="T11" s="9" t="str">
        <x:v>30dfd44f-e47d-4e93-bebd-eca256d80ce6</x:v>
      </x:c>
    </x:row>
    <x:row r="12">
      <x:c r="A12" s="9" t="str">
        <x:v>quote:0ef4ab75-0bd8-45b4-be19-6978bfc85fea</x:v>
      </x:c>
      <x:c r="B12" s="9" t="str">
        <x:v>Steve Tomlinson</x:v>
      </x:c>
      <x:c r="C12" s="9" t="str">
        <x:v>805-0041</x:v>
      </x:c>
      <x:c r="D12" s="9" t="str">
        <x:v>crm_quote</x:v>
      </x:c>
      <x:c r="E12" s="9" t="str">
        <x:v>sold</x:v>
      </x:c>
      <x:c r="F12" s="27" t="n">
        <x:v>46166</x:v>
      </x:c>
      <x:c r="G12" s="12" t="n">
        <x:v>5540</x:v>
      </x:c>
      <x:c r="H12" s="12" t="n">
        <x:v>2770</x:v>
      </x:c>
      <x:c r="I12" s="12" t="n">
        <x:f>SUMIFS('Payment Detail'!$G$2:$G$1000,'Payment Detail'!$A$2:$A$1000,$A12,'Payment Detail'!$H$2:$H$1000,"Yes")</x:f>
        <x:v>2770</x:v>
      </x:c>
      <x:c r="J12" s="12" t="n">
        <x:f>SUMIFS('Payment Detail'!$G$2:$G$1000,'Payment Detail'!$A$2:$A$1000,$A12,'Payment Detail'!$H$2:$H$1000,"No")</x:f>
        <x:v>0</x:v>
      </x:c>
      <x:c r="K12" s="12" t="n">
        <x:f>I12+J12</x:f>
        <x:v>2770</x:v>
      </x:c>
      <x:c r="L12" s="12" t="n">
        <x:v>0</x:v>
      </x:c>
      <x:c r="M12" s="12" t="n">
        <x:v>0</x:v>
      </x:c>
      <x:c r="N12" s="12" t="n">
        <x:f>G12-K12-L12+M12</x:f>
        <x:v>2770</x:v>
      </x:c>
      <x:c r="O12" s="9" t="n">
        <x:f>COUNTIF('Payment Detail'!$A$2:$A$1000,$A12)</x:f>
        <x:v>1</x:v>
      </x:c>
      <x:c r="P12" s="9" t="str"/>
      <x:c r="Q12" s="9" t="str"/>
      <x:c r="R12" s="12" t="n">
        <x:v>2284.51</x:v>
      </x:c>
      <x:c r="S12" s="9" t="str"/>
      <x:c r="T12" s="9" t="str">
        <x:v>0ef4ab75-0bd8-45b4-be19-6978bfc85fea</x:v>
      </x:c>
    </x:row>
    <x:row r="13">
      <x:c r="A13" s="9" t="str">
        <x:v>quote:50ddf918-2466-4026-9d85-ede3cf785bcc</x:v>
      </x:c>
      <x:c r="B13" s="9" t="str">
        <x:v>Karen Aquiar</x:v>
      </x:c>
      <x:c r="C13" s="9" t="str">
        <x:v>805-0039</x:v>
      </x:c>
      <x:c r="D13" s="9" t="str">
        <x:v>crm_quote</x:v>
      </x:c>
      <x:c r="E13" s="9" t="str">
        <x:v>sold</x:v>
      </x:c>
      <x:c r="F13" s="27" t="n">
        <x:v>46164</x:v>
      </x:c>
      <x:c r="G13" s="12" t="n">
        <x:v>8074.04</x:v>
      </x:c>
      <x:c r="H13" s="12" t="n">
        <x:v>4037.02</x:v>
      </x:c>
      <x:c r="I13" s="12" t="n">
        <x:f>SUMIFS('Payment Detail'!$G$2:$G$1000,'Payment Detail'!$A$2:$A$1000,$A13,'Payment Detail'!$H$2:$H$1000,"Yes")</x:f>
        <x:v>4037.02</x:v>
      </x:c>
      <x:c r="J13" s="12" t="n">
        <x:f>SUMIFS('Payment Detail'!$G$2:$G$1000,'Payment Detail'!$A$2:$A$1000,$A13,'Payment Detail'!$H$2:$H$1000,"No")</x:f>
        <x:v>0</x:v>
      </x:c>
      <x:c r="K13" s="12" t="n">
        <x:f>I13+J13</x:f>
        <x:v>4037.02</x:v>
      </x:c>
      <x:c r="L13" s="12" t="n">
        <x:v>0</x:v>
      </x:c>
      <x:c r="M13" s="12" t="n">
        <x:v>0</x:v>
      </x:c>
      <x:c r="N13" s="12" t="n">
        <x:f>G13-K13-L13+M13</x:f>
        <x:v>4037.02</x:v>
      </x:c>
      <x:c r="O13" s="9" t="n">
        <x:f>COUNTIF('Payment Detail'!$A$2:$A$1000,$A13)</x:f>
        <x:v>1</x:v>
      </x:c>
      <x:c r="P13" s="9" t="str"/>
      <x:c r="Q13" s="9" t="str"/>
      <x:c r="R13" s="12" t="n">
        <x:v>4017.53</x:v>
      </x:c>
      <x:c r="S13" s="9" t="str"/>
      <x:c r="T13" s="9" t="str">
        <x:v>50ddf918-2466-4026-9d85-ede3cf785bcc</x:v>
      </x:c>
    </x:row>
    <x:row r="14">
      <x:c r="A14" s="9" t="str">
        <x:v>quote:ca5d50c6-bc8a-4f7e-b668-c0941a49243a</x:v>
      </x:c>
      <x:c r="B14" s="9" t="str">
        <x:v>Clarissa Palomaria</x:v>
      </x:c>
      <x:c r="C14" s="9" t="str">
        <x:v>805-0034</x:v>
      </x:c>
      <x:c r="D14" s="9" t="str">
        <x:v>crm_quote</x:v>
      </x:c>
      <x:c r="E14" s="9" t="str">
        <x:v>sold</x:v>
      </x:c>
      <x:c r="F14" s="27" t="n">
        <x:v>46163</x:v>
      </x:c>
      <x:c r="G14" s="12" t="n">
        <x:v>3015</x:v>
      </x:c>
      <x:c r="H14" s="12" t="n">
        <x:v>1507.5</x:v>
      </x:c>
      <x:c r="I14" s="12" t="n">
        <x:f>SUMIFS('Payment Detail'!$G$2:$G$1000,'Payment Detail'!$A$2:$A$1000,$A14,'Payment Detail'!$H$2:$H$1000,"Yes")</x:f>
        <x:v>1507.5</x:v>
      </x:c>
      <x:c r="J14" s="12" t="n">
        <x:f>SUMIFS('Payment Detail'!$G$2:$G$1000,'Payment Detail'!$A$2:$A$1000,$A14,'Payment Detail'!$H$2:$H$1000,"No")</x:f>
        <x:v>0</x:v>
      </x:c>
      <x:c r="K14" s="12" t="n">
        <x:f>I14+J14</x:f>
        <x:v>1507.5</x:v>
      </x:c>
      <x:c r="L14" s="12" t="n">
        <x:v>0</x:v>
      </x:c>
      <x:c r="M14" s="12" t="n">
        <x:v>0</x:v>
      </x:c>
      <x:c r="N14" s="12" t="n">
        <x:f>G14-K14-L14+M14</x:f>
        <x:v>1507.5</x:v>
      </x:c>
      <x:c r="O14" s="9" t="n">
        <x:f>COUNTIF('Payment Detail'!$A$2:$A$1000,$A14)</x:f>
        <x:v>1</x:v>
      </x:c>
      <x:c r="P14" s="9" t="str"/>
      <x:c r="Q14" s="9" t="str"/>
      <x:c r="R14" s="12" t="n">
        <x:v>1158.73</x:v>
      </x:c>
      <x:c r="S14" s="9" t="str"/>
      <x:c r="T14" s="9" t="str">
        <x:v>ca5d50c6-bc8a-4f7e-b668-c0941a49243a</x:v>
      </x:c>
    </x:row>
    <x:row r="15">
      <x:c r="A15" s="9" t="str">
        <x:v>quote:4041268a-4f82-4100-987c-9fda35cca230</x:v>
      </x:c>
      <x:c r="B15" s="9" t="str">
        <x:v>Elizabeth Mathieu</x:v>
      </x:c>
      <x:c r="C15" s="9" t="str">
        <x:v>805-0033</x:v>
      </x:c>
      <x:c r="D15" s="9" t="str">
        <x:v>crm_quote</x:v>
      </x:c>
      <x:c r="E15" s="9" t="str">
        <x:v>sold</x:v>
      </x:c>
      <x:c r="F15" s="27" t="n">
        <x:v>46163</x:v>
      </x:c>
      <x:c r="G15" s="12" t="n">
        <x:v>633</x:v>
      </x:c>
      <x:c r="H15" s="12" t="n">
        <x:v>316.5</x:v>
      </x:c>
      <x:c r="I15" s="12" t="n">
        <x:f>SUMIFS('Payment Detail'!$G$2:$G$1000,'Payment Detail'!$A$2:$A$1000,$A15,'Payment Detail'!$H$2:$H$1000,"Yes")</x:f>
        <x:v>316.5</x:v>
      </x:c>
      <x:c r="J15" s="12" t="n">
        <x:f>SUMIFS('Payment Detail'!$G$2:$G$1000,'Payment Detail'!$A$2:$A$1000,$A15,'Payment Detail'!$H$2:$H$1000,"No")</x:f>
        <x:v>316.5</x:v>
      </x:c>
      <x:c r="K15" s="12" t="n">
        <x:f>I15+J15</x:f>
        <x:v>633</x:v>
      </x:c>
      <x:c r="L15" s="12" t="n">
        <x:v>0</x:v>
      </x:c>
      <x:c r="M15" s="12" t="n">
        <x:v>0</x:v>
      </x:c>
      <x:c r="N15" s="12" t="n">
        <x:f>G15-K15-L15+M15</x:f>
        <x:v>0</x:v>
      </x:c>
      <x:c r="O15" s="9" t="n">
        <x:f>COUNTIF('Payment Detail'!$A$2:$A$1000,$A15)</x:f>
        <x:v>2</x:v>
      </x:c>
      <x:c r="P15" s="9" t="str"/>
      <x:c r="Q15" s="9" t="str"/>
      <x:c r="R15" s="12" t="n">
        <x:v>305.15</x:v>
      </x:c>
      <x:c r="S15" s="9" t="str"/>
      <x:c r="T15" s="9" t="str">
        <x:v>4041268a-4f82-4100-987c-9fda35cca230</x:v>
      </x:c>
    </x:row>
    <x:row r="16">
      <x:c r="A16" s="9" t="str">
        <x:v>quote:6f8d6f45-6124-4481-bf79-25e86916907c</x:v>
      </x:c>
      <x:c r="B16" s="9" t="str">
        <x:v>Chris Aguilar</x:v>
      </x:c>
      <x:c r="C16" s="9" t="str">
        <x:v>805-0021</x:v>
      </x:c>
      <x:c r="D16" s="9" t="str">
        <x:v>crm_quote</x:v>
      </x:c>
      <x:c r="E16" s="9" t="str">
        <x:v>sold</x:v>
      </x:c>
      <x:c r="F16" s="27" t="n">
        <x:v>46155</x:v>
      </x:c>
      <x:c r="G16" s="12" t="n">
        <x:v>3544.4</x:v>
      </x:c>
      <x:c r="H16" s="12" t="n">
        <x:v>1772.2</x:v>
      </x:c>
      <x:c r="I16" s="12" t="n">
        <x:f>SUMIFS('Payment Detail'!$G$2:$G$1000,'Payment Detail'!$A$2:$A$1000,$A16,'Payment Detail'!$H$2:$H$1000,"Yes")</x:f>
        <x:v>0</x:v>
      </x:c>
      <x:c r="J16" s="12" t="n">
        <x:f>SUMIFS('Payment Detail'!$G$2:$G$1000,'Payment Detail'!$A$2:$A$1000,$A16,'Payment Detail'!$H$2:$H$1000,"No")</x:f>
        <x:v>0</x:v>
      </x:c>
      <x:c r="K16" s="12" t="n">
        <x:f>I16+J16</x:f>
        <x:v>0</x:v>
      </x:c>
      <x:c r="L16" s="12" t="n">
        <x:v>0</x:v>
      </x:c>
      <x:c r="M16" s="12" t="n">
        <x:v>0</x:v>
      </x:c>
      <x:c r="N16" s="12" t="n">
        <x:f>G16-K16-L16+M16</x:f>
        <x:v>3544.4</x:v>
      </x:c>
      <x:c r="O16" s="9" t="n">
        <x:f>COUNTIF('Payment Detail'!$A$2:$A$1000,$A16)</x:f>
        <x:v>0</x:v>
      </x:c>
      <x:c r="P16" s="9" t="str"/>
      <x:c r="Q16" s="9" t="str"/>
      <x:c r="R16" s="12" t="n">
        <x:v>1970.34</x:v>
      </x:c>
      <x:c r="S16" s="9" t="str">
        <x:v>{"__customerEmailNote":"Hi Chris, \n\nWe updated the fabric to the solid collection. We look forward to beautifying your home!\n\nPlease feel free to use the Zelle number we provide on the email, and please sign the contract. We will order immediately after receiving a deposit. Reach out with any questions. \n\nThank You!"}</x:v>
      </x:c>
      <x:c r="T16" s="9" t="str">
        <x:v>6f8d6f45-6124-4481-bf79-25e86916907c</x:v>
      </x:c>
    </x:row>
    <x:row r="17">
      <x:c r="A17" s="9" t="str">
        <x:v>quote:0d79af2e-0d99-40e6-ac00-4e7a04fb231d</x:v>
      </x:c>
      <x:c r="B17" s="9" t="str">
        <x:v>Mary Ann</x:v>
      </x:c>
      <x:c r="C17" s="9" t="str">
        <x:v>805-0008</x:v>
      </x:c>
      <x:c r="D17" s="9" t="str">
        <x:v>crm_quote</x:v>
      </x:c>
      <x:c r="E17" s="9" t="str">
        <x:v>sold</x:v>
      </x:c>
      <x:c r="F17" s="27" t="n">
        <x:v>46155</x:v>
      </x:c>
      <x:c r="G17" s="12" t="n">
        <x:v>9035.31</x:v>
      </x:c>
      <x:c r="H17" s="12" t="n">
        <x:v>4517.66</x:v>
      </x:c>
      <x:c r="I17" s="12" t="n">
        <x:f>SUMIFS('Payment Detail'!$G$2:$G$1000,'Payment Detail'!$A$2:$A$1000,$A17,'Payment Detail'!$H$2:$H$1000,"Yes")</x:f>
        <x:v>0</x:v>
      </x:c>
      <x:c r="J17" s="12" t="n">
        <x:f>SUMIFS('Payment Detail'!$G$2:$G$1000,'Payment Detail'!$A$2:$A$1000,$A17,'Payment Detail'!$H$2:$H$1000,"No")</x:f>
        <x:v>0</x:v>
      </x:c>
      <x:c r="K17" s="12" t="n">
        <x:f>I17+J17</x:f>
        <x:v>0</x:v>
      </x:c>
      <x:c r="L17" s="12" t="n">
        <x:v>0</x:v>
      </x:c>
      <x:c r="M17" s="12" t="n">
        <x:v>0</x:v>
      </x:c>
      <x:c r="N17" s="12" t="n">
        <x:f>G17-K17-L17+M17</x:f>
        <x:v>9035.31</x:v>
      </x:c>
      <x:c r="O17" s="9" t="n">
        <x:f>COUNTIF('Payment Detail'!$A$2:$A$1000,$A17)</x:f>
        <x:v>0</x:v>
      </x:c>
      <x:c r="P17" s="9" t="str">
        <x:v>Credit Card</x:v>
      </x:c>
      <x:c r="Q17" s="9" t="str"/>
      <x:c r="R17" s="12" t="n">
        <x:v>5842.98</x:v>
      </x:c>
      <x:c r="S17" s="9" t="str">
        <x:v>Onxy 2670.12
Norman 3,172.86</x:v>
      </x:c>
      <x:c r="T17" s="9" t="str">
        <x:v>0d79af2e-0d99-40e6-ac00-4e7a04fb231d</x:v>
      </x:c>
    </x:row>
    <x:row r="18">
      <x:c r="A18" s="9" t="str">
        <x:v>quote:447ed109-b535-450f-a8ac-c93ed69345e0</x:v>
      </x:c>
      <x:c r="B18" s="9" t="str">
        <x:v>Melisa Asimus</x:v>
      </x:c>
      <x:c r="C18" s="9" t="str">
        <x:v>805-0013</x:v>
      </x:c>
      <x:c r="D18" s="9" t="str">
        <x:v>crm_quote</x:v>
      </x:c>
      <x:c r="E18" s="9" t="str">
        <x:v>sold</x:v>
      </x:c>
      <x:c r="F18" s="27" t="n">
        <x:v>46155</x:v>
      </x:c>
      <x:c r="G18" s="12" t="n">
        <x:v>3061.19</x:v>
      </x:c>
      <x:c r="H18" s="12" t="n">
        <x:v>1530.6</x:v>
      </x:c>
      <x:c r="I18" s="12" t="n">
        <x:f>SUMIFS('Payment Detail'!$G$2:$G$1000,'Payment Detail'!$A$2:$A$1000,$A18,'Payment Detail'!$H$2:$H$1000,"Yes")</x:f>
        <x:v>1500</x:v>
      </x:c>
      <x:c r="J18" s="12" t="n">
        <x:f>SUMIFS('Payment Detail'!$G$2:$G$1000,'Payment Detail'!$A$2:$A$1000,$A18,'Payment Detail'!$H$2:$H$1000,"No")</x:f>
        <x:v>0</x:v>
      </x:c>
      <x:c r="K18" s="12" t="n">
        <x:f>I18+J18</x:f>
        <x:v>1500</x:v>
      </x:c>
      <x:c r="L18" s="12" t="n">
        <x:v>0</x:v>
      </x:c>
      <x:c r="M18" s="12" t="n">
        <x:v>0</x:v>
      </x:c>
      <x:c r="N18" s="12" t="n">
        <x:f>G18-K18-L18+M18</x:f>
        <x:v>1561.19</x:v>
      </x:c>
      <x:c r="O18" s="9" t="n">
        <x:f>COUNTIF('Payment Detail'!$A$2:$A$1000,$A18)</x:f>
        <x:v>1</x:v>
      </x:c>
      <x:c r="P18" s="9" t="str"/>
      <x:c r="Q18" s="9" t="str"/>
      <x:c r="R18" s="12" t="n">
        <x:v>1814.24</x:v>
      </x:c>
      <x:c r="S18" s="9" t="str"/>
      <x:c r="T18" s="9" t="str">
        <x:v>447ed109-b535-450f-a8ac-c93ed69345e0</x:v>
      </x:c>
    </x:row>
    <x:row r="19">
      <x:c r="A19" s="9" t="str">
        <x:v>quote:63267a7e-3ee2-469f-b687-8eb5d6f399d7</x:v>
      </x:c>
      <x:c r="B19" s="9" t="str">
        <x:v>Sam Dixit</x:v>
      </x:c>
      <x:c r="C19" s="9" t="str">
        <x:v>805-0014</x:v>
      </x:c>
      <x:c r="D19" s="9" t="str">
        <x:v>crm_quote</x:v>
      </x:c>
      <x:c r="E19" s="9" t="str">
        <x:v>sold</x:v>
      </x:c>
      <x:c r="F19" s="27" t="n">
        <x:v>46154</x:v>
      </x:c>
      <x:c r="G19" s="12" t="n">
        <x:v>5136.3</x:v>
      </x:c>
      <x:c r="H19" s="12" t="n">
        <x:v>2568.15</x:v>
      </x:c>
      <x:c r="I19" s="12" t="n">
        <x:f>SUMIFS('Payment Detail'!$G$2:$G$1000,'Payment Detail'!$A$2:$A$1000,$A19,'Payment Detail'!$H$2:$H$1000,"Yes")</x:f>
        <x:v>0</x:v>
      </x:c>
      <x:c r="J19" s="12" t="n">
        <x:f>SUMIFS('Payment Detail'!$G$2:$G$1000,'Payment Detail'!$A$2:$A$1000,$A19,'Payment Detail'!$H$2:$H$1000,"No")</x:f>
        <x:v>0</x:v>
      </x:c>
      <x:c r="K19" s="12" t="n">
        <x:f>I19+J19</x:f>
        <x:v>0</x:v>
      </x:c>
      <x:c r="L19" s="12" t="n">
        <x:v>0</x:v>
      </x:c>
      <x:c r="M19" s="12" t="n">
        <x:v>0</x:v>
      </x:c>
      <x:c r="N19" s="12" t="n">
        <x:f>G19-K19-L19+M19</x:f>
        <x:v>5136.3</x:v>
      </x:c>
      <x:c r="O19" s="9" t="n">
        <x:f>COUNTIF('Payment Detail'!$A$2:$A$1000,$A19)</x:f>
        <x:v>0</x:v>
      </x:c>
      <x:c r="P19" s="9" t="str"/>
      <x:c r="Q19" s="9" t="str"/>
      <x:c r="R19" s="12" t="n">
        <x:v>3206</x:v>
      </x:c>
      <x:c r="S19" s="9" t="str">
        <x:v>{"__customerEmailNote":"Hi Sam,\n\nI added the extra windows and discounted an extra 10%! I'm thin on this one Sam, but happy to do it for you. I hope to earn your referral and a lifetime of business.\n\nMike"}</x:v>
      </x:c>
      <x:c r="T19" s="9" t="str">
        <x:v>63267a7e-3ee2-469f-b687-8eb5d6f399d7</x:v>
      </x:c>
    </x:row>
    <x:row r="20">
      <x:c r="A20" s="9" t="str">
        <x:v>quote:64dde41e-09cb-40b3-9f8b-72dc1b21450c</x:v>
      </x:c>
      <x:c r="B20" s="9" t="str">
        <x:v>First 5</x:v>
      </x:c>
      <x:c r="C20" s="9" t="str">
        <x:v>805-0006</x:v>
      </x:c>
      <x:c r="D20" s="9" t="str">
        <x:v>crm_quote</x:v>
      </x:c>
      <x:c r="E20" s="9" t="str">
        <x:v>sold</x:v>
      </x:c>
      <x:c r="F20" s="27" t="n">
        <x:v>46149</x:v>
      </x:c>
      <x:c r="G20" s="12" t="n">
        <x:v>1040</x:v>
      </x:c>
      <x:c r="H20" s="12" t="n">
        <x:v>520</x:v>
      </x:c>
      <x:c r="I20" s="12" t="n">
        <x:f>SUMIFS('Payment Detail'!$G$2:$G$1000,'Payment Detail'!$A$2:$A$1000,$A20,'Payment Detail'!$H$2:$H$1000,"Yes")</x:f>
        <x:v>0</x:v>
      </x:c>
      <x:c r="J20" s="12" t="n">
        <x:f>SUMIFS('Payment Detail'!$G$2:$G$1000,'Payment Detail'!$A$2:$A$1000,$A20,'Payment Detail'!$H$2:$H$1000,"No")</x:f>
        <x:v>0</x:v>
      </x:c>
      <x:c r="K20" s="12" t="n">
        <x:f>I20+J20</x:f>
        <x:v>0</x:v>
      </x:c>
      <x:c r="L20" s="12" t="n">
        <x:v>0</x:v>
      </x:c>
      <x:c r="M20" s="12" t="n">
        <x:v>0</x:v>
      </x:c>
      <x:c r="N20" s="12" t="n">
        <x:f>G20-K20-L20+M20</x:f>
        <x:v>1040</x:v>
      </x:c>
      <x:c r="O20" s="9" t="n">
        <x:f>COUNTIF('Payment Detail'!$A$2:$A$1000,$A20)</x:f>
        <x:v>0</x:v>
      </x:c>
      <x:c r="P20" s="9" t="str"/>
      <x:c r="Q20" s="9" t="str"/>
      <x:c r="R20" s="12" t="n">
        <x:v>341.61</x:v>
      </x:c>
      <x:c r="S20" s="9" t="str">
        <x:v>Q. NO DEPOSIT  COLLECTED
is this BRENDA C ANDRADE</x:v>
      </x:c>
      <x:c r="T20" s="9" t="str">
        <x:v>64dde41e-09cb-40b3-9f8b-72dc1b21450c</x:v>
      </x:c>
    </x:row>
    <x:row r="21">
      <x:c r="A21" s="9" t="str">
        <x:v>quote:48586197-fb5b-4cd2-bc2f-d07c3041b4cc</x:v>
      </x:c>
      <x:c r="B21" s="9" t="str">
        <x:v>Brian Knoll (Knoll psychiatry)</x:v>
      </x:c>
      <x:c r="C21" s="9" t="str">
        <x:v>805-0011</x:v>
      </x:c>
      <x:c r="D21" s="9" t="str">
        <x:v>crm_quote</x:v>
      </x:c>
      <x:c r="E21" s="9" t="str">
        <x:v>sold</x:v>
      </x:c>
      <x:c r="F21" s="27" t="n">
        <x:v>46147</x:v>
      </x:c>
      <x:c r="G21" s="12" t="n">
        <x:v>3850</x:v>
      </x:c>
      <x:c r="H21" s="12" t="n">
        <x:v>1925</x:v>
      </x:c>
      <x:c r="I21" s="12" t="n">
        <x:f>SUMIFS('Payment Detail'!$G$2:$G$1000,'Payment Detail'!$A$2:$A$1000,$A21,'Payment Detail'!$H$2:$H$1000,"Yes")</x:f>
        <x:v>1925</x:v>
      </x:c>
      <x:c r="J21" s="12" t="n">
        <x:f>SUMIFS('Payment Detail'!$G$2:$G$1000,'Payment Detail'!$A$2:$A$1000,$A21,'Payment Detail'!$H$2:$H$1000,"No")</x:f>
        <x:v>1925</x:v>
      </x:c>
      <x:c r="K21" s="12" t="n">
        <x:f>I21+J21</x:f>
        <x:v>3850</x:v>
      </x:c>
      <x:c r="L21" s="12" t="n">
        <x:v>0</x:v>
      </x:c>
      <x:c r="M21" s="12" t="n">
        <x:v>0</x:v>
      </x:c>
      <x:c r="N21" s="12" t="n">
        <x:f>G21-K21-L21+M21</x:f>
        <x:v>0</x:v>
      </x:c>
      <x:c r="O21" s="9" t="n">
        <x:f>COUNTIF('Payment Detail'!$A$2:$A$1000,$A21)</x:f>
        <x:v>2</x:v>
      </x:c>
      <x:c r="P21" s="9" t="str">
        <x:v>Check</x:v>
      </x:c>
      <x:c r="Q21" s="9" t="str"/>
      <x:c r="R21" s="12" t="n">
        <x:v>1876.73</x:v>
      </x:c>
      <x:c r="S21" s="9" t="str">
        <x:v>Q</x:v>
      </x:c>
      <x:c r="T21" s="9" t="str">
        <x:v>48586197-fb5b-4cd2-bc2f-d07c3041b4cc</x:v>
      </x:c>
    </x:row>
    <x:row r="22">
      <x:c r="A22" s="9" t="str">
        <x:v>quote:88c9f191-9f2d-49a5-8f24-0eba05f8fc44</x:v>
      </x:c>
      <x:c r="B22" s="9" t="str">
        <x:v>Rick Groper</x:v>
      </x:c>
      <x:c r="C22" s="9" t="str">
        <x:v>805-0012</x:v>
      </x:c>
      <x:c r="D22" s="9" t="str">
        <x:v>crm_quote</x:v>
      </x:c>
      <x:c r="E22" s="9" t="str">
        <x:v>sold</x:v>
      </x:c>
      <x:c r="F22" s="27" t="n">
        <x:v>46147</x:v>
      </x:c>
      <x:c r="G22" s="12" t="n">
        <x:v>483</x:v>
      </x:c>
      <x:c r="H22" s="12" t="n">
        <x:v>241.5</x:v>
      </x:c>
      <x:c r="I22" s="12" t="n">
        <x:f>SUMIFS('Payment Detail'!$G$2:$G$1000,'Payment Detail'!$A$2:$A$1000,$A22,'Payment Detail'!$H$2:$H$1000,"Yes")</x:f>
        <x:v>0</x:v>
      </x:c>
      <x:c r="J22" s="12" t="n">
        <x:f>SUMIFS('Payment Detail'!$G$2:$G$1000,'Payment Detail'!$A$2:$A$1000,$A22,'Payment Detail'!$H$2:$H$1000,"No")</x:f>
        <x:v>483</x:v>
      </x:c>
      <x:c r="K22" s="12" t="n">
        <x:f>I22+J22</x:f>
        <x:v>483</x:v>
      </x:c>
      <x:c r="L22" s="12" t="n">
        <x:v>0</x:v>
      </x:c>
      <x:c r="M22" s="12" t="n">
        <x:v>0</x:v>
      </x:c>
      <x:c r="N22" s="12" t="n">
        <x:f>G22-K22-L22+M22</x:f>
        <x:v>0</x:v>
      </x:c>
      <x:c r="O22" s="9" t="n">
        <x:f>COUNTIF('Payment Detail'!$A$2:$A$1000,$A22)</x:f>
        <x:v>1</x:v>
      </x:c>
      <x:c r="P22" s="9" t="str">
        <x:v>Zelle</x:v>
      </x:c>
      <x:c r="Q22" s="9" t="str"/>
      <x:c r="R22" s="12" t="n">
        <x:v>283.49</x:v>
      </x:c>
      <x:c r="S22" s="9" t="str">
        <x:v>Q</x:v>
      </x:c>
      <x:c r="T22" s="9" t="str">
        <x:v>88c9f191-9f2d-49a5-8f24-0eba05f8fc44</x:v>
      </x:c>
    </x:row>
    <x:row r="23">
      <x:c r="A23" s="9" t="str">
        <x:v>entry:7f751980-4c73-4a8e-9ee4-616ae8ac168c</x:v>
      </x:c>
      <x:c r="B23" s="9" t="str">
        <x:v>Deborah Barker</x:v>
      </x:c>
      <x:c r="C23" s="9" t="str">
        <x:v>Sheet row 15</x:v>
      </x:c>
      <x:c r="D23" s="9" t="str">
        <x:v>legacy_sheet</x:v>
      </x:c>
      <x:c r="E23" s="9" t="str">
        <x:v>legacy</x:v>
      </x:c>
      <x:c r="F23" s="27" t="n">
        <x:v>46141</x:v>
      </x:c>
      <x:c r="G23" s="12" t="n">
        <x:v>3820</x:v>
      </x:c>
      <x:c r="H23" s="12" t="n">
        <x:v>1910</x:v>
      </x:c>
      <x:c r="I23" s="12" t="n">
        <x:f>SUMIFS('Payment Detail'!$G$2:$G$1000,'Payment Detail'!$A$2:$A$1000,$A23,'Payment Detail'!$H$2:$H$1000,"Yes")</x:f>
        <x:v>1900</x:v>
      </x:c>
      <x:c r="J23" s="12" t="n">
        <x:f>SUMIFS('Payment Detail'!$G$2:$G$1000,'Payment Detail'!$A$2:$A$1000,$A23,'Payment Detail'!$H$2:$H$1000,"No")</x:f>
        <x:v>0</x:v>
      </x:c>
      <x:c r="K23" s="12" t="n">
        <x:f>I23+J23</x:f>
        <x:v>1900</x:v>
      </x:c>
      <x:c r="L23" s="12" t="n">
        <x:v>0</x:v>
      </x:c>
      <x:c r="M23" s="12" t="n">
        <x:v>0</x:v>
      </x:c>
      <x:c r="N23" s="12" t="n">
        <x:f>G23-K23-L23+M23</x:f>
        <x:v>1920</x:v>
      </x:c>
      <x:c r="O23" s="9" t="n">
        <x:f>COUNTIF('Payment Detail'!$A$2:$A$1000,$A23)</x:f>
        <x:v>1</x:v>
      </x:c>
      <x:c r="P23" s="9" t="str">
        <x:v>Zelle</x:v>
      </x:c>
      <x:c r="Q23" s="9" t="str"/>
      <x:c r="R23" s="12" t="n">
        <x:v>2189.44</x:v>
      </x:c>
      <x:c r="S23" s="9" t="str">
        <x:v>Q</x:v>
      </x:c>
      <x:c r="T23" s="9" t="str">
        <x:v>7f751980-4c73-4a8e-9ee4-616ae8ac168c</x:v>
      </x:c>
    </x:row>
    <x:row r="24">
      <x:c r="A24" s="9" t="str">
        <x:v>entry:8ba2b392-e0cd-4371-9175-d2aa7a225e42</x:v>
      </x:c>
      <x:c r="B24" s="9" t="str">
        <x:v>Vaca Orozco, Gladys</x:v>
      </x:c>
      <x:c r="C24" s="9" t="str">
        <x:v>Sheet row 14</x:v>
      </x:c>
      <x:c r="D24" s="9" t="str">
        <x:v>legacy_sheet</x:v>
      </x:c>
      <x:c r="E24" s="9" t="str">
        <x:v>legacy</x:v>
      </x:c>
      <x:c r="F24" s="27" t="n">
        <x:v>46134</x:v>
      </x:c>
      <x:c r="G24" s="12" t="n">
        <x:v>3480</x:v>
      </x:c>
      <x:c r="H24" s="12" t="n">
        <x:v>1740</x:v>
      </x:c>
      <x:c r="I24" s="12" t="n">
        <x:f>SUMIFS('Payment Detail'!$G$2:$G$1000,'Payment Detail'!$A$2:$A$1000,$A24,'Payment Detail'!$H$2:$H$1000,"Yes")</x:f>
        <x:v>1740</x:v>
      </x:c>
      <x:c r="J24" s="12" t="n">
        <x:f>SUMIFS('Payment Detail'!$G$2:$G$1000,'Payment Detail'!$A$2:$A$1000,$A24,'Payment Detail'!$H$2:$H$1000,"No")</x:f>
        <x:v>1740</x:v>
      </x:c>
      <x:c r="K24" s="12" t="n">
        <x:f>I24+J24</x:f>
        <x:v>3480</x:v>
      </x:c>
      <x:c r="L24" s="12" t="n">
        <x:v>0</x:v>
      </x:c>
      <x:c r="M24" s="12" t="n">
        <x:v>0</x:v>
      </x:c>
      <x:c r="N24" s="12" t="n">
        <x:f>G24-K24-L24+M24</x:f>
        <x:v>0</x:v>
      </x:c>
      <x:c r="O24" s="9" t="n">
        <x:f>COUNTIF('Payment Detail'!$A$2:$A$1000,$A24)</x:f>
        <x:v>2</x:v>
      </x:c>
      <x:c r="P24" s="9" t="str">
        <x:v>Cash</x:v>
      </x:c>
      <x:c r="Q24" s="9" t="str"/>
      <x:c r="R24" s="12" t="n">
        <x:v>1604</x:v>
      </x:c>
      <x:c r="S24" s="9" t="str">
        <x:v>PAY CASH TOWARDS JOBS ?</x:v>
      </x:c>
      <x:c r="T24" s="9" t="str">
        <x:v>8ba2b392-e0cd-4371-9175-d2aa7a225e42</x:v>
      </x:c>
    </x:row>
    <x:row r="25">
      <x:c r="A25" s="9" t="str">
        <x:v>entry:dd5acae3-05d9-4de3-a6f9-8acabb41b824</x:v>
      </x:c>
      <x:c r="B25" s="9" t="str">
        <x:v>CATHY WOLFE Q</x:v>
      </x:c>
      <x:c r="C25" s="9" t="str">
        <x:v>Sheet row 13</x:v>
      </x:c>
      <x:c r="D25" s="9" t="str">
        <x:v>legacy_sheet</x:v>
      </x:c>
      <x:c r="E25" s="9" t="str">
        <x:v>legacy</x:v>
      </x:c>
      <x:c r="F25" s="27" t="n">
        <x:v>46132</x:v>
      </x:c>
      <x:c r="G25" s="12" t="n">
        <x:v>3080</x:v>
      </x:c>
      <x:c r="H25" s="12" t="n">
        <x:v>1540</x:v>
      </x:c>
      <x:c r="I25" s="12" t="n">
        <x:f>SUMIFS('Payment Detail'!$G$2:$G$1000,'Payment Detail'!$A$2:$A$1000,$A25,'Payment Detail'!$H$2:$H$1000,"Yes")</x:f>
        <x:v>1540</x:v>
      </x:c>
      <x:c r="J25" s="12" t="n">
        <x:f>SUMIFS('Payment Detail'!$G$2:$G$1000,'Payment Detail'!$A$2:$A$1000,$A25,'Payment Detail'!$H$2:$H$1000,"No")</x:f>
        <x:v>1540</x:v>
      </x:c>
      <x:c r="K25" s="12" t="n">
        <x:f>I25+J25</x:f>
        <x:v>3080</x:v>
      </x:c>
      <x:c r="L25" s="12" t="n">
        <x:v>0</x:v>
      </x:c>
      <x:c r="M25" s="12" t="n">
        <x:v>0</x:v>
      </x:c>
      <x:c r="N25" s="12" t="n">
        <x:f>G25-K25-L25+M25</x:f>
        <x:v>0</x:v>
      </x:c>
      <x:c r="O25" s="9" t="n">
        <x:f>COUNTIF('Payment Detail'!$A$2:$A$1000,$A25)</x:f>
        <x:v>2</x:v>
      </x:c>
      <x:c r="P25" s="9" t="str">
        <x:v>Zelle</x:v>
      </x:c>
      <x:c r="Q25" s="9" t="str"/>
      <x:c r="R25" s="12" t="n">
        <x:v>1255</x:v>
      </x:c>
      <x:c r="S25" s="9" t="str"/>
      <x:c r="T25" s="9" t="str">
        <x:v>dd5acae3-05d9-4de3-a6f9-8acabb41b824</x:v>
      </x:c>
    </x:row>
    <x:row r="26">
      <x:c r="A26" s="9" t="str">
        <x:v>entry:cce5e521-a905-4e74-a0eb-8938fa9497f4</x:v>
      </x:c>
      <x:c r="B26" s="9" t="str">
        <x:v>Hanson, Deb Q</x:v>
      </x:c>
      <x:c r="C26" s="9" t="str">
        <x:v>Sheet row 12</x:v>
      </x:c>
      <x:c r="D26" s="9" t="str">
        <x:v>legacy_sheet</x:v>
      </x:c>
      <x:c r="E26" s="9" t="str">
        <x:v>legacy</x:v>
      </x:c>
      <x:c r="F26" s="27" t="n">
        <x:v>46132</x:v>
      </x:c>
      <x:c r="G26" s="12" t="n">
        <x:v>2200</x:v>
      </x:c>
      <x:c r="H26" s="12" t="n">
        <x:v>1100</x:v>
      </x:c>
      <x:c r="I26" s="12" t="n">
        <x:f>SUMIFS('Payment Detail'!$G$2:$G$1000,'Payment Detail'!$A$2:$A$1000,$A26,'Payment Detail'!$H$2:$H$1000,"Yes")</x:f>
        <x:v>1100</x:v>
      </x:c>
      <x:c r="J26" s="12" t="n">
        <x:f>SUMIFS('Payment Detail'!$G$2:$G$1000,'Payment Detail'!$A$2:$A$1000,$A26,'Payment Detail'!$H$2:$H$1000,"No")</x:f>
        <x:v>0</x:v>
      </x:c>
      <x:c r="K26" s="12" t="n">
        <x:f>I26+J26</x:f>
        <x:v>1100</x:v>
      </x:c>
      <x:c r="L26" s="12" t="n">
        <x:v>0</x:v>
      </x:c>
      <x:c r="M26" s="12" t="n">
        <x:v>0</x:v>
      </x:c>
      <x:c r="N26" s="12" t="n">
        <x:f>G26-K26-L26+M26</x:f>
        <x:v>1100</x:v>
      </x:c>
      <x:c r="O26" s="9" t="n">
        <x:f>COUNTIF('Payment Detail'!$A$2:$A$1000,$A26)</x:f>
        <x:v>1</x:v>
      </x:c>
      <x:c r="P26" s="9" t="str">
        <x:v>Check</x:v>
      </x:c>
      <x:c r="Q26" s="9" t="str"/>
      <x:c r="R26" s="12" t="n">
        <x:v>1025</x:v>
      </x:c>
      <x:c r="S26" s="9" t="str"/>
      <x:c r="T26" s="9" t="str">
        <x:v>cce5e521-a905-4e74-a0eb-8938fa9497f4</x:v>
      </x:c>
    </x:row>
    <x:row r="27">
      <x:c r="A27" s="9" t="str">
        <x:v>entry:6ac4e175-0c20-4ff4-a672-2e584aa5fc01</x:v>
      </x:c>
      <x:c r="B27" s="9" t="str">
        <x:v>Locascio, Jill. CS (test)</x:v>
      </x:c>
      <x:c r="C27" s="9" t="str">
        <x:v>Sheet row 11</x:v>
      </x:c>
      <x:c r="D27" s="9" t="str">
        <x:v>legacy_sheet</x:v>
      </x:c>
      <x:c r="E27" s="9" t="str">
        <x:v>legacy</x:v>
      </x:c>
      <x:c r="F27" s="27" t="n">
        <x:v>46132</x:v>
      </x:c>
      <x:c r="G27" s="12" t="n">
        <x:v>325</x:v>
      </x:c>
      <x:c r="H27" s="12" t="n">
        <x:v>162.5</x:v>
      </x:c>
      <x:c r="I27" s="12" t="n">
        <x:f>SUMIFS('Payment Detail'!$G$2:$G$1000,'Payment Detail'!$A$2:$A$1000,$A27,'Payment Detail'!$H$2:$H$1000,"Yes")</x:f>
        <x:v>160</x:v>
      </x:c>
      <x:c r="J27" s="12" t="n">
        <x:f>SUMIFS('Payment Detail'!$G$2:$G$1000,'Payment Detail'!$A$2:$A$1000,$A27,'Payment Detail'!$H$2:$H$1000,"No")</x:f>
        <x:v>165</x:v>
      </x:c>
      <x:c r="K27" s="12" t="n">
        <x:f>I27+J27</x:f>
        <x:v>325</x:v>
      </x:c>
      <x:c r="L27" s="12" t="n">
        <x:v>0</x:v>
      </x:c>
      <x:c r="M27" s="12" t="n">
        <x:v>0</x:v>
      </x:c>
      <x:c r="N27" s="12" t="n">
        <x:f>G27-K27-L27+M27</x:f>
        <x:v>0</x:v>
      </x:c>
      <x:c r="O27" s="9" t="n">
        <x:f>COUNTIF('Payment Detail'!$A$2:$A$1000,$A27)</x:f>
        <x:v>2</x:v>
      </x:c>
      <x:c r="P27" s="9" t="str">
        <x:v>Cash</x:v>
      </x:c>
      <x:c r="Q27" s="9" t="str"/>
      <x:c r="R27" s="12" t="n">
        <x:v>130</x:v>
      </x:c>
      <x:c r="S27" s="9" t="str">
        <x:v>Cash paid to mike 0 balance to mike
PAID IN FULL</x:v>
      </x:c>
      <x:c r="T27" s="9" t="str">
        <x:v>6ac4e175-0c20-4ff4-a672-2e584aa5fc01</x:v>
      </x:c>
    </x:row>
    <x:row r="28">
      <x:c r="A28" s="9" t="str">
        <x:v>entry:43911770-efb1-4b97-bb49-ddd8b7e1abb7</x:v>
      </x:c>
      <x:c r="B28" s="9" t="str">
        <x:v>Dolowy(Voyce)Q</x:v>
      </x:c>
      <x:c r="C28" s="9" t="str">
        <x:v>Sheet row 10</x:v>
      </x:c>
      <x:c r="D28" s="9" t="str">
        <x:v>legacy_sheet</x:v>
      </x:c>
      <x:c r="E28" s="9" t="str">
        <x:v>legacy</x:v>
      </x:c>
      <x:c r="F28" s="27" t="n">
        <x:v>46117</x:v>
      </x:c>
      <x:c r="G28" s="12" t="n">
        <x:v>775</x:v>
      </x:c>
      <x:c r="H28" s="12" t="n">
        <x:v>387.5</x:v>
      </x:c>
      <x:c r="I28" s="12" t="n">
        <x:f>SUMIFS('Payment Detail'!$G$2:$G$1000,'Payment Detail'!$A$2:$A$1000,$A28,'Payment Detail'!$H$2:$H$1000,"Yes")</x:f>
        <x:v>504</x:v>
      </x:c>
      <x:c r="J28" s="12" t="n">
        <x:f>SUMIFS('Payment Detail'!$G$2:$G$1000,'Payment Detail'!$A$2:$A$1000,$A28,'Payment Detail'!$H$2:$H$1000,"No")</x:f>
        <x:v>271</x:v>
      </x:c>
      <x:c r="K28" s="12" t="n">
        <x:f>I28+J28</x:f>
        <x:v>775</x:v>
      </x:c>
      <x:c r="L28" s="12" t="n">
        <x:v>0</x:v>
      </x:c>
      <x:c r="M28" s="12" t="n">
        <x:v>0</x:v>
      </x:c>
      <x:c r="N28" s="12" t="n">
        <x:f>G28-K28-L28+M28</x:f>
        <x:v>0</x:v>
      </x:c>
      <x:c r="O28" s="9" t="n">
        <x:f>COUNTIF('Payment Detail'!$A$2:$A$1000,$A28)</x:f>
        <x:v>2</x:v>
      </x:c>
      <x:c r="P28" s="9" t="str">
        <x:v>Credit Card</x:v>
      </x:c>
      <x:c r="Q28" s="9" t="str"/>
      <x:c r="R28" s="12" t="n">
        <x:v>374</x:v>
      </x:c>
      <x:c r="S28" s="9" t="str">
        <x:v>CC FEE $18</x:v>
      </x:c>
      <x:c r="T28" s="9" t="str">
        <x:v>43911770-efb1-4b97-bb49-ddd8b7e1abb7</x:v>
      </x:c>
    </x:row>
    <x:row r="29">
      <x:c r="A29" s="9" t="str">
        <x:v>entry:1cdad954-d4f8-45ce-9549-6c09757d4ad2</x:v>
      </x:c>
      <x:c r="B29" s="9" t="str">
        <x:v>NEWTON Q</x:v>
      </x:c>
      <x:c r="C29" s="9" t="str">
        <x:v>Sheet row 8</x:v>
      </x:c>
      <x:c r="D29" s="9" t="str">
        <x:v>legacy_sheet</x:v>
      </x:c>
      <x:c r="E29" s="9" t="str">
        <x:v>legacy</x:v>
      </x:c>
      <x:c r="F29" s="27" t="n">
        <x:v>46114</x:v>
      </x:c>
      <x:c r="G29" s="12" t="n">
        <x:v>1054</x:v>
      </x:c>
      <x:c r="H29" s="12" t="n">
        <x:v>527</x:v>
      </x:c>
      <x:c r="I29" s="12" t="n">
        <x:f>SUMIFS('Payment Detail'!$G$2:$G$1000,'Payment Detail'!$A$2:$A$1000,$A29,'Payment Detail'!$H$2:$H$1000,"Yes")</x:f>
        <x:v>527</x:v>
      </x:c>
      <x:c r="J29" s="12" t="n">
        <x:f>SUMIFS('Payment Detail'!$G$2:$G$1000,'Payment Detail'!$A$2:$A$1000,$A29,'Payment Detail'!$H$2:$H$1000,"No")</x:f>
        <x:v>527</x:v>
      </x:c>
      <x:c r="K29" s="12" t="n">
        <x:f>I29+J29</x:f>
        <x:v>1054</x:v>
      </x:c>
      <x:c r="L29" s="12" t="n">
        <x:v>0</x:v>
      </x:c>
      <x:c r="M29" s="12" t="n">
        <x:v>0</x:v>
      </x:c>
      <x:c r="N29" s="12" t="n">
        <x:f>G29-K29-L29+M29</x:f>
        <x:v>0</x:v>
      </x:c>
      <x:c r="O29" s="9" t="n">
        <x:f>COUNTIF('Payment Detail'!$A$2:$A$1000,$A29)</x:f>
        <x:v>2</x:v>
      </x:c>
      <x:c r="P29" s="9" t="str">
        <x:v>Check</x:v>
      </x:c>
      <x:c r="Q29" s="9" t="str"/>
      <x:c r="R29" s="12" t="n">
        <x:v>523</x:v>
      </x:c>
      <x:c r="S29" s="9" t="str"/>
      <x:c r="T29" s="9" t="str">
        <x:v>1cdad954-d4f8-45ce-9549-6c09757d4ad2</x:v>
      </x:c>
    </x:row>
    <x:row r="30">
      <x:c r="A30" s="9" t="str">
        <x:v>entry:f138666b-091e-46a4-96ec-e590b608bdbf</x:v>
      </x:c>
      <x:c r="B30" s="9" t="str">
        <x:v>Corrico* Q PD</x:v>
      </x:c>
      <x:c r="C30" s="9" t="str">
        <x:v>Sheet row 4</x:v>
      </x:c>
      <x:c r="D30" s="9" t="str">
        <x:v>legacy_sheet</x:v>
      </x:c>
      <x:c r="E30" s="9" t="str">
        <x:v>legacy</x:v>
      </x:c>
      <x:c r="F30" s="27" t="n">
        <x:v>46113</x:v>
      </x:c>
      <x:c r="G30" s="12" t="n">
        <x:v>5230</x:v>
      </x:c>
      <x:c r="H30" s="12" t="n">
        <x:v>2615</x:v>
      </x:c>
      <x:c r="I30" s="12" t="n">
        <x:f>SUMIFS('Payment Detail'!$G$2:$G$1000,'Payment Detail'!$A$2:$A$1000,$A30,'Payment Detail'!$H$2:$H$1000,"Yes")</x:f>
        <x:v>2613</x:v>
      </x:c>
      <x:c r="J30" s="12" t="n">
        <x:f>SUMIFS('Payment Detail'!$G$2:$G$1000,'Payment Detail'!$A$2:$A$1000,$A30,'Payment Detail'!$H$2:$H$1000,"No")</x:f>
        <x:v>2617</x:v>
      </x:c>
      <x:c r="K30" s="12" t="n">
        <x:f>I30+J30</x:f>
        <x:v>5230</x:v>
      </x:c>
      <x:c r="L30" s="12" t="n">
        <x:v>0</x:v>
      </x:c>
      <x:c r="M30" s="12" t="n">
        <x:v>0</x:v>
      </x:c>
      <x:c r="N30" s="12" t="n">
        <x:f>G30-K30-L30+M30</x:f>
        <x:v>0</x:v>
      </x:c>
      <x:c r="O30" s="9" t="n">
        <x:f>COUNTIF('Payment Detail'!$A$2:$A$1000,$A30)</x:f>
        <x:v>2</x:v>
      </x:c>
      <x:c r="P30" s="9" t="str">
        <x:v>Check</x:v>
      </x:c>
      <x:c r="Q30" s="9" t="str"/>
      <x:c r="R30" s="12" t="n">
        <x:v>3075</x:v>
      </x:c>
      <x:c r="S30" s="9" t="str">
        <x:v>PAID CASH Locascio, Jill  $325 VACA ORZOCO $1307</x:v>
      </x:c>
      <x:c r="T30" s="9" t="str">
        <x:v>f138666b-091e-46a4-96ec-e590b608bdbf</x:v>
      </x:c>
    </x:row>
    <x:row r="31">
      <x:c r="A31" s="9" t="str">
        <x:v>entry:68dacd3c-ccdb-4208-a21b-741c120c58f5</x:v>
      </x:c>
      <x:c r="B31" s="9" t="str">
        <x:v>GRAY. Q PD</x:v>
      </x:c>
      <x:c r="C31" s="9" t="str">
        <x:v>Sheet row 3</x:v>
      </x:c>
      <x:c r="D31" s="9" t="str">
        <x:v>legacy_sheet</x:v>
      </x:c>
      <x:c r="E31" s="9" t="str">
        <x:v>legacy</x:v>
      </x:c>
      <x:c r="F31" s="27" t="n">
        <x:v>46113</x:v>
      </x:c>
      <x:c r="G31" s="12" t="n">
        <x:v>2500</x:v>
      </x:c>
      <x:c r="H31" s="12" t="n">
        <x:v>1250</x:v>
      </x:c>
      <x:c r="I31" s="12" t="n">
        <x:f>SUMIFS('Payment Detail'!$G$2:$G$1000,'Payment Detail'!$A$2:$A$1000,$A31,'Payment Detail'!$H$2:$H$1000,"Yes")</x:f>
        <x:v>1250</x:v>
      </x:c>
      <x:c r="J31" s="12" t="n">
        <x:f>SUMIFS('Payment Detail'!$G$2:$G$1000,'Payment Detail'!$A$2:$A$1000,$A31,'Payment Detail'!$H$2:$H$1000,"No")</x:f>
        <x:v>1250</x:v>
      </x:c>
      <x:c r="K31" s="12" t="n">
        <x:f>I31+J31</x:f>
        <x:v>2500</x:v>
      </x:c>
      <x:c r="L31" s="12" t="n">
        <x:v>0</x:v>
      </x:c>
      <x:c r="M31" s="12" t="n">
        <x:v>0</x:v>
      </x:c>
      <x:c r="N31" s="12" t="n">
        <x:f>G31-K31-L31+M31</x:f>
        <x:v>0</x:v>
      </x:c>
      <x:c r="O31" s="9" t="n">
        <x:f>COUNTIF('Payment Detail'!$A$2:$A$1000,$A31)</x:f>
        <x:v>2</x:v>
      </x:c>
      <x:c r="P31" s="9" t="str">
        <x:v>Credit Card</x:v>
      </x:c>
      <x:c r="Q31" s="9" t="str"/>
      <x:c r="R31" s="12" t="n">
        <x:v>1615</x:v>
      </x:c>
      <x:c r="S31" s="9" t="str">
        <x:v>paid</x:v>
      </x:c>
      <x:c r="T31" s="9" t="str">
        <x:v>68dacd3c-ccdb-4208-a21b-741c120c58f5</x:v>
      </x:c>
    </x:row>
    <x:row r="32">
      <x:c r="A32" s="9" t="str">
        <x:v>entry:61d7c61d-f761-484b-9b8d-eb71ca68f5aa</x:v>
      </x:c>
      <x:c r="B32" s="9" t="str">
        <x:v>Rodeigez Q</x:v>
      </x:c>
      <x:c r="C32" s="9" t="str">
        <x:v>Sheet row 7</x:v>
      </x:c>
      <x:c r="D32" s="9" t="str">
        <x:v>legacy_sheet</x:v>
      </x:c>
      <x:c r="E32" s="9" t="str">
        <x:v>legacy</x:v>
      </x:c>
      <x:c r="F32" s="27" t="n">
        <x:v>46113</x:v>
      </x:c>
      <x:c r="G32" s="12" t="n">
        <x:v>2704</x:v>
      </x:c>
      <x:c r="H32" s="12" t="n">
        <x:v>1352</x:v>
      </x:c>
      <x:c r="I32" s="12" t="n">
        <x:f>SUMIFS('Payment Detail'!$G$2:$G$1000,'Payment Detail'!$A$2:$A$1000,$A32,'Payment Detail'!$H$2:$H$1000,"Yes")</x:f>
        <x:v>1352</x:v>
      </x:c>
      <x:c r="J32" s="12" t="n">
        <x:f>SUMIFS('Payment Detail'!$G$2:$G$1000,'Payment Detail'!$A$2:$A$1000,$A32,'Payment Detail'!$H$2:$H$1000,"No")</x:f>
        <x:v>1352</x:v>
      </x:c>
      <x:c r="K32" s="12" t="n">
        <x:f>I32+J32</x:f>
        <x:v>2704</x:v>
      </x:c>
      <x:c r="L32" s="12" t="n">
        <x:v>0</x:v>
      </x:c>
      <x:c r="M32" s="12" t="n">
        <x:v>0</x:v>
      </x:c>
      <x:c r="N32" s="12" t="n">
        <x:f>G32-K32-L32+M32</x:f>
        <x:v>0</x:v>
      </x:c>
      <x:c r="O32" s="9" t="n">
        <x:f>COUNTIF('Payment Detail'!$A$2:$A$1000,$A32)</x:f>
        <x:v>2</x:v>
      </x:c>
      <x:c r="P32" s="9" t="str">
        <x:v>Zelle</x:v>
      </x:c>
      <x:c r="Q32" s="9" t="str"/>
      <x:c r="R32" s="12" t="n">
        <x:v>1524</x:v>
      </x:c>
      <x:c r="S32" s="9" t="str"/>
      <x:c r="T32" s="9" t="str">
        <x:v>61d7c61d-f761-484b-9b8d-eb71ca68f5aa</x:v>
      </x:c>
    </x:row>
    <x:row r="33">
      <x:c r="A33" s="9" t="str">
        <x:v>entry:f71a0bd4-680e-4ecf-a649-2cf834c4a98e</x:v>
      </x:c>
      <x:c r="B33" s="9" t="str">
        <x:v>Seigel*</x:v>
      </x:c>
      <x:c r="C33" s="9" t="str">
        <x:v>Sheet row 5</x:v>
      </x:c>
      <x:c r="D33" s="9" t="str">
        <x:v>legacy_sheet</x:v>
      </x:c>
      <x:c r="E33" s="9" t="str">
        <x:v>legacy</x:v>
      </x:c>
      <x:c r="F33" s="27" t="n">
        <x:v>46113</x:v>
      </x:c>
      <x:c r="G33" s="12" t="n">
        <x:v>2113</x:v>
      </x:c>
      <x:c r="H33" s="12" t="n">
        <x:v>1056.5</x:v>
      </x:c>
      <x:c r="I33" s="12" t="n">
        <x:f>SUMIFS('Payment Detail'!$G$2:$G$1000,'Payment Detail'!$A$2:$A$1000,$A33,'Payment Detail'!$H$2:$H$1000,"Yes")</x:f>
        <x:v>2113</x:v>
      </x:c>
      <x:c r="J33" s="12" t="n">
        <x:f>SUMIFS('Payment Detail'!$G$2:$G$1000,'Payment Detail'!$A$2:$A$1000,$A33,'Payment Detail'!$H$2:$H$1000,"No")</x:f>
        <x:v>0</x:v>
      </x:c>
      <x:c r="K33" s="12" t="n">
        <x:f>I33+J33</x:f>
        <x:v>2113</x:v>
      </x:c>
      <x:c r="L33" s="12" t="n">
        <x:v>0</x:v>
      </x:c>
      <x:c r="M33" s="12" t="n">
        <x:v>0</x:v>
      </x:c>
      <x:c r="N33" s="12" t="n">
        <x:f>G33-K33-L33+M33</x:f>
        <x:v>0</x:v>
      </x:c>
      <x:c r="O33" s="9" t="n">
        <x:f>COUNTIF('Payment Detail'!$A$2:$A$1000,$A33)</x:f>
        <x:v>1</x:v>
      </x:c>
      <x:c r="P33" s="9" t="str">
        <x:v>Check</x:v>
      </x:c>
      <x:c r="Q33" s="9" t="str"/>
      <x:c r="R33" s="12" t="n">
        <x:v>1037</x:v>
      </x:c>
      <x:c r="S33" s="9" t="str">
        <x:v>Paid zelle 4/24/26</x:v>
      </x:c>
      <x:c r="T33" s="9" t="str">
        <x:v>f71a0bd4-680e-4ecf-a649-2cf834c4a98e</x:v>
      </x:c>
    </x:row>
    <x:row r="34">
      <x:c r="A34" s="9" t="str">
        <x:v>entry:a8fd9886-b592-4806-9dda-e0e1d46ffba5</x:v>
      </x:c>
      <x:c r="B34" s="9" t="str">
        <x:v>Torres* Q PD</x:v>
      </x:c>
      <x:c r="C34" s="9" t="str">
        <x:v>Sheet row 2</x:v>
      </x:c>
      <x:c r="D34" s="9" t="str">
        <x:v>legacy_sheet</x:v>
      </x:c>
      <x:c r="E34" s="9" t="str">
        <x:v>legacy</x:v>
      </x:c>
      <x:c r="F34" s="27" t="n">
        <x:v>46113</x:v>
      </x:c>
      <x:c r="G34" s="12" t="n">
        <x:v>2500</x:v>
      </x:c>
      <x:c r="H34" s="12" t="n">
        <x:v>1250</x:v>
      </x:c>
      <x:c r="I34" s="12" t="n">
        <x:f>SUMIFS('Payment Detail'!$G$2:$G$1000,'Payment Detail'!$A$2:$A$1000,$A34,'Payment Detail'!$H$2:$H$1000,"Yes")</x:f>
        <x:v>1250</x:v>
      </x:c>
      <x:c r="J34" s="12" t="n">
        <x:f>SUMIFS('Payment Detail'!$G$2:$G$1000,'Payment Detail'!$A$2:$A$1000,$A34,'Payment Detail'!$H$2:$H$1000,"No")</x:f>
        <x:v>1250</x:v>
      </x:c>
      <x:c r="K34" s="12" t="n">
        <x:f>I34+J34</x:f>
        <x:v>2500</x:v>
      </x:c>
      <x:c r="L34" s="12" t="n">
        <x:v>0</x:v>
      </x:c>
      <x:c r="M34" s="12" t="n">
        <x:v>0</x:v>
      </x:c>
      <x:c r="N34" s="12" t="n">
        <x:f>G34-K34-L34+M34</x:f>
        <x:v>0</x:v>
      </x:c>
      <x:c r="O34" s="9" t="n">
        <x:f>COUNTIF('Payment Detail'!$A$2:$A$1000,$A34)</x:f>
        <x:v>2</x:v>
      </x:c>
      <x:c r="P34" s="9" t="str">
        <x:v>Zelle</x:v>
      </x:c>
      <x:c r="Q34" s="9" t="str"/>
      <x:c r="R34" s="12" t="n">
        <x:v>1532</x:v>
      </x:c>
      <x:c r="S34" s="9" t="str">
        <x:v>paid cash vaca orozco $433 zelle $285</x:v>
      </x:c>
      <x:c r="T34" s="9" t="str">
        <x:v>a8fd9886-b592-4806-9dda-e0e1d46ffba5</x:v>
      </x:c>
    </x:row>
    <x:row r="35">
      <x:c r="A35" s="9" t="str">
        <x:v>entry:171c5f6b-3ece-4369-8d49-042f2b260a6b</x:v>
      </x:c>
      <x:c r="B35" s="9" t="str">
        <x:v>Waldmen Q</x:v>
      </x:c>
      <x:c r="C35" s="9" t="str">
        <x:v>Sheet row 6</x:v>
      </x:c>
      <x:c r="D35" s="9" t="str">
        <x:v>legacy_sheet</x:v>
      </x:c>
      <x:c r="E35" s="9" t="str">
        <x:v>legacy</x:v>
      </x:c>
      <x:c r="F35" s="27" t="n">
        <x:v>46113</x:v>
      </x:c>
      <x:c r="G35" s="12" t="n">
        <x:v>4022</x:v>
      </x:c>
      <x:c r="H35" s="12" t="n">
        <x:v>2011</x:v>
      </x:c>
      <x:c r="I35" s="12" t="n">
        <x:f>SUMIFS('Payment Detail'!$G$2:$G$1000,'Payment Detail'!$A$2:$A$1000,$A35,'Payment Detail'!$H$2:$H$1000,"Yes")</x:f>
        <x:v>2011</x:v>
      </x:c>
      <x:c r="J35" s="12" t="n">
        <x:f>SUMIFS('Payment Detail'!$G$2:$G$1000,'Payment Detail'!$A$2:$A$1000,$A35,'Payment Detail'!$H$2:$H$1000,"No")</x:f>
        <x:v>0</x:v>
      </x:c>
      <x:c r="K35" s="12" t="n">
        <x:f>I35+J35</x:f>
        <x:v>2011</x:v>
      </x:c>
      <x:c r="L35" s="12" t="n">
        <x:v>0</x:v>
      </x:c>
      <x:c r="M35" s="12" t="n">
        <x:v>0</x:v>
      </x:c>
      <x:c r="N35" s="12" t="n">
        <x:f>G35-K35-L35+M35</x:f>
        <x:v>2011</x:v>
      </x:c>
      <x:c r="O35" s="9" t="n">
        <x:f>COUNTIF('Payment Detail'!$A$2:$A$1000,$A35)</x:f>
        <x:v>1</x:v>
      </x:c>
      <x:c r="P35" s="9" t="str">
        <x:v>Credit Card</x:v>
      </x:c>
      <x:c r="Q35" s="9" t="str"/>
      <x:c r="R35" s="12" t="n">
        <x:v>2243</x:v>
      </x:c>
      <x:c r="S35" s="9" t="str">
        <x:v>CC FEE $71 ???? NO COGS/ORDER FOUND</x:v>
      </x:c>
      <x:c r="T35" s="9" t="str">
        <x:v>171c5f6b-3ece-4369-8d49-042f2b260a6b</x:v>
      </x:c>
    </x:row>
    <x:row r="36">
      <x:c r="A36" s="10" t="str">
        <x:v>entry:70caaac3-3d24-4ef0-9770-b2eb76eafff9</x:v>
      </x:c>
      <x:c r="B36" s="10" t="str">
        <x:v>Milani Q</x:v>
      </x:c>
      <x:c r="C36" s="10" t="str">
        <x:v>Sheet row 9</x:v>
      </x:c>
      <x:c r="D36" s="10" t="str">
        <x:v>legacy_sheet</x:v>
      </x:c>
      <x:c r="E36" s="10" t="str">
        <x:v>legacy</x:v>
      </x:c>
      <x:c r="F36" s="28" t="n">
        <x:v>46108</x:v>
      </x:c>
      <x:c r="G36" s="13" t="n">
        <x:v>1343</x:v>
      </x:c>
      <x:c r="H36" s="13" t="n">
        <x:v>671.5</x:v>
      </x:c>
      <x:c r="I36" s="13" t="n">
        <x:f>SUMIFS('Payment Detail'!$G$2:$G$1000,'Payment Detail'!$A$2:$A$1000,$A36,'Payment Detail'!$H$2:$H$1000,"Yes")</x:f>
        <x:v>672</x:v>
      </x:c>
      <x:c r="J36" s="13" t="n">
        <x:f>SUMIFS('Payment Detail'!$G$2:$G$1000,'Payment Detail'!$A$2:$A$1000,$A36,'Payment Detail'!$H$2:$H$1000,"No")</x:f>
        <x:v>671</x:v>
      </x:c>
      <x:c r="K36" s="13" t="n">
        <x:f>I36+J36</x:f>
        <x:v>1343</x:v>
      </x:c>
      <x:c r="L36" s="13" t="n">
        <x:v>0</x:v>
      </x:c>
      <x:c r="M36" s="13" t="n">
        <x:v>0</x:v>
      </x:c>
      <x:c r="N36" s="13" t="n">
        <x:f>G36-K36-L36+M36</x:f>
        <x:v>0</x:v>
      </x:c>
      <x:c r="O36" s="10" t="n">
        <x:f>COUNTIF('Payment Detail'!$A$2:$A$1000,$A36)</x:f>
        <x:v>2</x:v>
      </x:c>
      <x:c r="P36" s="10" t="str">
        <x:v>Zelle</x:v>
      </x:c>
      <x:c r="Q36" s="10" t="str"/>
      <x:c r="R36" s="13" t="n">
        <x:v>784</x:v>
      </x:c>
      <x:c r="S36" s="10" t="str"/>
      <x:c r="T36" s="10" t="str">
        <x:v>70caaac3-3d24-4ef0-9770-b2eb76eafff9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8" hidden="0" customWidth="1"/>
    <x:col min="4" max="4" width="13" hidden="0" customWidth="1"/>
    <x:col min="5" max="5" width="20" hidden="0" customWidth="1"/>
    <x:col min="6" max="6" width="14" hidden="0" customWidth="1"/>
    <x:col min="7" max="7" width="14" hidden="0" customWidth="1"/>
    <x:col min="8" max="8" width="10" hidden="0" customWidth="1"/>
    <x:col min="9" max="9" width="18" hidden="0" customWidth="1"/>
    <x:col min="10" max="10" width="44" hidden="0" customWidth="1"/>
    <x:col min="11" max="11" width="38" hidden="0" customWidth="1"/>
  </x:cols>
  <x:sheetData>
    <x:row r="1">
      <x:c r="A1" s="8" t="str">
        <x:v>Row Key</x:v>
      </x:c>
      <x:c r="B1" s="8" t="str">
        <x:v>Customer</x:v>
      </x:c>
      <x:c r="C1" s="8" t="str">
        <x:v>Quote / Sheet Row</x:v>
      </x:c>
      <x:c r="D1" s="8" t="str">
        <x:v>Payment Date</x:v>
      </x:c>
      <x:c r="E1" s="8" t="str">
        <x:v>Payment Label</x:v>
      </x:c>
      <x:c r="F1" s="8" t="str">
        <x:v>Payment Type</x:v>
      </x:c>
      <x:c r="G1" s="8" t="str">
        <x:v>Amount</x:v>
      </x:c>
      <x:c r="H1" s="8" t="str">
        <x:v>Deposit?</x:v>
      </x:c>
      <x:c r="I1" s="8" t="str">
        <x:v>Source</x:v>
      </x:c>
      <x:c r="J1" s="8" t="str">
        <x:v>Notes</x:v>
      </x:c>
      <x:c r="K1" s="8" t="str">
        <x:v>Payment ID</x:v>
      </x:c>
    </x:row>
    <x:row r="2">
      <x:c r="A2" s="9" t="str">
        <x:v>quote:f76c03ad-5e0d-4a01-b4ee-abe47d962861</x:v>
      </x:c>
      <x:c r="B2" s="9" t="str">
        <x:v>Monsi, Magana</x:v>
      </x:c>
      <x:c r="C2" s="9" t="str">
        <x:v>805-0028</x:v>
      </x:c>
      <x:c r="D2" s="27" t="n">
        <x:v>46171</x:v>
      </x:c>
      <x:c r="E2" s="9" t="str">
        <x:v>Deposit</x:v>
      </x:c>
      <x:c r="F2" s="9" t="str">
        <x:v>Other</x:v>
      </x:c>
      <x:c r="G2" s="12" t="n">
        <x:v>857</x:v>
      </x:c>
      <x:c r="H2" s="9" t="str">
        <x:v>Yes</x:v>
      </x:c>
      <x:c r="I2" s="9" t="str">
        <x:v>crm_quote</x:v>
      </x:c>
      <x:c r="J2" s="9" t="str"/>
      <x:c r="K2" s="9" t="str">
        <x:v>a6b5c027-9cfb-44e6-8337-8b94021e4514</x:v>
      </x:c>
    </x:row>
    <x:row r="3">
      <x:c r="A3" s="9" t="str">
        <x:v>quote:c9e90198-a655-4cd5-a635-9386bdb3a552</x:v>
      </x:c>
      <x:c r="B3" s="9" t="str">
        <x:v>Laura McCarren</x:v>
      </x:c>
      <x:c r="C3" s="9" t="str">
        <x:v>805-0038</x:v>
      </x:c>
      <x:c r="D3" s="27" t="n">
        <x:v>46170</x:v>
      </x:c>
      <x:c r="E3" s="9" t="str">
        <x:v>Deposit</x:v>
      </x:c>
      <x:c r="F3" s="9" t="str">
        <x:v>Other</x:v>
      </x:c>
      <x:c r="G3" s="12" t="n">
        <x:v>1602</x:v>
      </x:c>
      <x:c r="H3" s="9" t="str">
        <x:v>Yes</x:v>
      </x:c>
      <x:c r="I3" s="9" t="str">
        <x:v>crm_quote</x:v>
      </x:c>
      <x:c r="J3" s="9" t="str"/>
      <x:c r="K3" s="9" t="str">
        <x:v>c8ac756b-f94e-4333-a290-56d6832ad666</x:v>
      </x:c>
    </x:row>
    <x:row r="4">
      <x:c r="A4" s="9" t="str">
        <x:v>quote:801b3082-e3eb-4b03-b4c5-df44b71b94a8</x:v>
      </x:c>
      <x:c r="B4" s="9" t="str">
        <x:v>Brian Wright 2</x:v>
      </x:c>
      <x:c r="C4" s="9" t="str">
        <x:v>805-0009</x:v>
      </x:c>
      <x:c r="D4" s="27" t="n">
        <x:v>46167</x:v>
      </x:c>
      <x:c r="E4" s="9" t="str">
        <x:v>Deposit</x:v>
      </x:c>
      <x:c r="F4" s="9" t="str">
        <x:v>Other</x:v>
      </x:c>
      <x:c r="G4" s="12" t="n">
        <x:v>2386</x:v>
      </x:c>
      <x:c r="H4" s="9" t="str">
        <x:v>Yes</x:v>
      </x:c>
      <x:c r="I4" s="9" t="str">
        <x:v>crm_quote</x:v>
      </x:c>
      <x:c r="J4" s="9" t="str"/>
      <x:c r="K4" s="9" t="str">
        <x:v>a9ca9842-b9d6-4512-bbb8-bf114004f9b1</x:v>
      </x:c>
    </x:row>
    <x:row r="5">
      <x:c r="A5" s="9" t="str">
        <x:v>quote:30dfd44f-e47d-4e93-bebd-eca256d80ce6</x:v>
      </x:c>
      <x:c r="B5" s="9" t="str">
        <x:v>Donna Schnopp</x:v>
      </x:c>
      <x:c r="C5" s="9" t="str">
        <x:v>805-0040</x:v>
      </x:c>
      <x:c r="D5" s="27" t="n">
        <x:v>46166</x:v>
      </x:c>
      <x:c r="E5" s="9" t="str">
        <x:v>Deposit</x:v>
      </x:c>
      <x:c r="F5" s="9" t="str">
        <x:v>Other</x:v>
      </x:c>
      <x:c r="G5" s="12" t="n">
        <x:v>3855</x:v>
      </x:c>
      <x:c r="H5" s="9" t="str">
        <x:v>Yes</x:v>
      </x:c>
      <x:c r="I5" s="9" t="str">
        <x:v>crm_quote</x:v>
      </x:c>
      <x:c r="J5" s="9" t="str"/>
      <x:c r="K5" s="9" t="str">
        <x:v>39116bcc-230a-4ef6-aec8-c4735580e388</x:v>
      </x:c>
    </x:row>
    <x:row r="6">
      <x:c r="A6" s="9" t="str">
        <x:v>quote:0ef4ab75-0bd8-45b4-be19-6978bfc85fea</x:v>
      </x:c>
      <x:c r="B6" s="9" t="str">
        <x:v>Steve Tomlinson</x:v>
      </x:c>
      <x:c r="C6" s="9" t="str">
        <x:v>805-0041</x:v>
      </x:c>
      <x:c r="D6" s="27" t="n">
        <x:v>46166</x:v>
      </x:c>
      <x:c r="E6" s="9" t="str">
        <x:v>Deposit</x:v>
      </x:c>
      <x:c r="F6" s="9" t="str">
        <x:v>Other</x:v>
      </x:c>
      <x:c r="G6" s="12" t="n">
        <x:v>2770</x:v>
      </x:c>
      <x:c r="H6" s="9" t="str">
        <x:v>Yes</x:v>
      </x:c>
      <x:c r="I6" s="9" t="str">
        <x:v>crm_quote</x:v>
      </x:c>
      <x:c r="J6" s="9" t="str"/>
      <x:c r="K6" s="9" t="str">
        <x:v>72ccd84e-4993-4ecb-9372-73a04a802a2f</x:v>
      </x:c>
    </x:row>
    <x:row r="7">
      <x:c r="A7" s="9" t="str">
        <x:v>quote:50ddf918-2466-4026-9d85-ede3cf785bcc</x:v>
      </x:c>
      <x:c r="B7" s="9" t="str">
        <x:v>Karen Aquiar</x:v>
      </x:c>
      <x:c r="C7" s="9" t="str">
        <x:v>805-0039</x:v>
      </x:c>
      <x:c r="D7" s="27" t="n">
        <x:v>46164</x:v>
      </x:c>
      <x:c r="E7" s="9" t="str">
        <x:v>Deposit</x:v>
      </x:c>
      <x:c r="F7" s="9" t="str">
        <x:v>Other</x:v>
      </x:c>
      <x:c r="G7" s="12" t="n">
        <x:v>4037.02</x:v>
      </x:c>
      <x:c r="H7" s="9" t="str">
        <x:v>Yes</x:v>
      </x:c>
      <x:c r="I7" s="9" t="str">
        <x:v>crm_quote</x:v>
      </x:c>
      <x:c r="J7" s="9" t="str"/>
      <x:c r="K7" s="9" t="str">
        <x:v>72ae52c4-d555-4819-80d2-b14182931900</x:v>
      </x:c>
    </x:row>
    <x:row r="8">
      <x:c r="A8" s="9" t="str">
        <x:v>quote:ca5d50c6-bc8a-4f7e-b668-c0941a49243a</x:v>
      </x:c>
      <x:c r="B8" s="9" t="str">
        <x:v>Clarissa Palomaria</x:v>
      </x:c>
      <x:c r="C8" s="9" t="str">
        <x:v>805-0034</x:v>
      </x:c>
      <x:c r="D8" s="27" t="n">
        <x:v>46163</x:v>
      </x:c>
      <x:c r="E8" s="9" t="str">
        <x:v>Deposit</x:v>
      </x:c>
      <x:c r="F8" s="9" t="str">
        <x:v>Other</x:v>
      </x:c>
      <x:c r="G8" s="12" t="n">
        <x:v>1507.5</x:v>
      </x:c>
      <x:c r="H8" s="9" t="str">
        <x:v>Yes</x:v>
      </x:c>
      <x:c r="I8" s="9" t="str">
        <x:v>crm_quote</x:v>
      </x:c>
      <x:c r="J8" s="9" t="str"/>
      <x:c r="K8" s="9" t="str">
        <x:v>3b108d9e-126b-45c2-92f5-1807c6ea911b</x:v>
      </x:c>
    </x:row>
    <x:row r="9">
      <x:c r="A9" s="9" t="str">
        <x:v>quote:4041268a-4f82-4100-987c-9fda35cca230</x:v>
      </x:c>
      <x:c r="B9" s="9" t="str">
        <x:v>Elizabeth Mathieu</x:v>
      </x:c>
      <x:c r="C9" s="9" t="str">
        <x:v>805-0033</x:v>
      </x:c>
      <x:c r="D9" s="27" t="n">
        <x:v>46163</x:v>
      </x:c>
      <x:c r="E9" s="9" t="str">
        <x:v>Deposit</x:v>
      </x:c>
      <x:c r="F9" s="9" t="str">
        <x:v>Other</x:v>
      </x:c>
      <x:c r="G9" s="12" t="n">
        <x:v>316.5</x:v>
      </x:c>
      <x:c r="H9" s="9" t="str">
        <x:v>Yes</x:v>
      </x:c>
      <x:c r="I9" s="9" t="str">
        <x:v>crm_quote</x:v>
      </x:c>
      <x:c r="J9" s="9" t="str"/>
      <x:c r="K9" s="9" t="str">
        <x:v>a9464b3e-4f37-40dd-a281-d844b4ee7385</x:v>
      </x:c>
    </x:row>
    <x:row r="10">
      <x:c r="A10" s="9" t="str">
        <x:v>quote:4041268a-4f82-4100-987c-9fda35cca230</x:v>
      </x:c>
      <x:c r="B10" s="9" t="str">
        <x:v>Elizabeth Mathieu</x:v>
      </x:c>
      <x:c r="C10" s="9" t="str">
        <x:v>805-0033</x:v>
      </x:c>
      <x:c r="D10" s="27" t="n">
        <x:v>46163</x:v>
      </x:c>
      <x:c r="E10" s="9" t="str">
        <x:v>Balance payment</x:v>
      </x:c>
      <x:c r="F10" s="9" t="str">
        <x:v>Other</x:v>
      </x:c>
      <x:c r="G10" s="12" t="n">
        <x:v>316.5</x:v>
      </x:c>
      <x:c r="H10" s="9" t="str">
        <x:v>No</x:v>
      </x:c>
      <x:c r="I10" s="9" t="str">
        <x:v>crm_quote</x:v>
      </x:c>
      <x:c r="J10" s="9" t="str"/>
      <x:c r="K10" s="9" t="str">
        <x:v>316edd4d-1472-4dcc-842e-65e0d0a55851</x:v>
      </x:c>
    </x:row>
    <x:row r="11">
      <x:c r="A11" s="9" t="str">
        <x:v>quote:447ed109-b535-450f-a8ac-c93ed69345e0</x:v>
      </x:c>
      <x:c r="B11" s="9" t="str">
        <x:v>Melisa Asimus</x:v>
      </x:c>
      <x:c r="C11" s="9" t="str">
        <x:v>805-0013</x:v>
      </x:c>
      <x:c r="D11" s="27" t="n">
        <x:v>46155</x:v>
      </x:c>
      <x:c r="E11" s="9" t="str">
        <x:v>Deposit</x:v>
      </x:c>
      <x:c r="F11" s="9" t="str">
        <x:v>Other</x:v>
      </x:c>
      <x:c r="G11" s="12" t="n">
        <x:v>1500</x:v>
      </x:c>
      <x:c r="H11" s="9" t="str">
        <x:v>Yes</x:v>
      </x:c>
      <x:c r="I11" s="9" t="str">
        <x:v>crm_quote</x:v>
      </x:c>
      <x:c r="J11" s="9" t="str"/>
      <x:c r="K11" s="9" t="str">
        <x:v>a5e56212-4838-4dfd-8fc9-2958b1a566e4</x:v>
      </x:c>
    </x:row>
    <x:row r="12">
      <x:c r="A12" s="9" t="str">
        <x:v>quote:48586197-fb5b-4cd2-bc2f-d07c3041b4cc</x:v>
      </x:c>
      <x:c r="B12" s="9" t="str">
        <x:v>Brian Knoll (Knoll psychiatry)</x:v>
      </x:c>
      <x:c r="C12" s="9" t="str">
        <x:v>805-0011</x:v>
      </x:c>
      <x:c r="D12" s="27" t="n">
        <x:v>46147</x:v>
      </x:c>
      <x:c r="E12" s="9" t="str">
        <x:v>Deposit</x:v>
      </x:c>
      <x:c r="F12" s="9" t="str">
        <x:v>Check</x:v>
      </x:c>
      <x:c r="G12" s="12" t="n">
        <x:v>1925</x:v>
      </x:c>
      <x:c r="H12" s="9" t="str">
        <x:v>Yes</x:v>
      </x:c>
      <x:c r="I12" s="9" t="str">
        <x:v>crm_quote</x:v>
      </x:c>
      <x:c r="J12" s="9" t="str"/>
      <x:c r="K12" s="9" t="str">
        <x:v>242f07b5-5021-4f8d-8e68-56a3294fb32f</x:v>
      </x:c>
    </x:row>
    <x:row r="13">
      <x:c r="A13" s="9" t="str">
        <x:v>quote:48586197-fb5b-4cd2-bc2f-d07c3041b4cc</x:v>
      </x:c>
      <x:c r="B13" s="9" t="str">
        <x:v>Brian Knoll (Knoll psychiatry)</x:v>
      </x:c>
      <x:c r="C13" s="9" t="str">
        <x:v>805-0011</x:v>
      </x:c>
      <x:c r="D13" s="27" t="n">
        <x:v>46147</x:v>
      </x:c>
      <x:c r="E13" s="9" t="str">
        <x:v>Balance payment</x:v>
      </x:c>
      <x:c r="F13" s="9" t="str">
        <x:v>Check</x:v>
      </x:c>
      <x:c r="G13" s="12" t="n">
        <x:v>1925</x:v>
      </x:c>
      <x:c r="H13" s="9" t="str">
        <x:v>No</x:v>
      </x:c>
      <x:c r="I13" s="9" t="str">
        <x:v>crm_quote</x:v>
      </x:c>
      <x:c r="J13" s="9" t="str"/>
      <x:c r="K13" s="9" t="str">
        <x:v>f997c6c0-66b0-455c-bb91-c0247a6f6010</x:v>
      </x:c>
    </x:row>
    <x:row r="14">
      <x:c r="A14" s="9" t="str">
        <x:v>quote:88c9f191-9f2d-49a5-8f24-0eba05f8fc44</x:v>
      </x:c>
      <x:c r="B14" s="9" t="str">
        <x:v>Rick Groper</x:v>
      </x:c>
      <x:c r="C14" s="9" t="str">
        <x:v>805-0012</x:v>
      </x:c>
      <x:c r="D14" s="27" t="n">
        <x:v>46147</x:v>
      </x:c>
      <x:c r="E14" s="9" t="str">
        <x:v>Balance payment</x:v>
      </x:c>
      <x:c r="F14" s="9" t="str">
        <x:v>Zelle</x:v>
      </x:c>
      <x:c r="G14" s="12" t="n">
        <x:v>483</x:v>
      </x:c>
      <x:c r="H14" s="9" t="str">
        <x:v>No</x:v>
      </x:c>
      <x:c r="I14" s="9" t="str">
        <x:v>crm_quote</x:v>
      </x:c>
      <x:c r="J14" s="9" t="str"/>
      <x:c r="K14" s="9" t="str">
        <x:v>2faad694-f916-4c2b-a11c-8a9daf4bb70d</x:v>
      </x:c>
    </x:row>
    <x:row r="15">
      <x:c r="A15" s="9" t="str">
        <x:v>entry:7f751980-4c73-4a8e-9ee4-616ae8ac168c</x:v>
      </x:c>
      <x:c r="B15" s="9" t="str">
        <x:v>Deborah Barker</x:v>
      </x:c>
      <x:c r="C15" s="9" t="str">
        <x:v>Sheet row 15</x:v>
      </x:c>
      <x:c r="D15" s="27" t="n">
        <x:v>46141</x:v>
      </x:c>
      <x:c r="E15" s="9" t="str">
        <x:v>Deposit</x:v>
      </x:c>
      <x:c r="F15" s="9" t="str">
        <x:v>Zelle</x:v>
      </x:c>
      <x:c r="G15" s="12" t="n">
        <x:v>1900</x:v>
      </x:c>
      <x:c r="H15" s="9" t="str">
        <x:v>Yes</x:v>
      </x:c>
      <x:c r="I15" s="9" t="str">
        <x:v>legacy_sheet</x:v>
      </x:c>
      <x:c r="J15" s="9" t="str"/>
      <x:c r="K15" s="9" t="str">
        <x:v>9c6b4c9c-9e92-4a10-82b6-ed618b6ab7da</x:v>
      </x:c>
    </x:row>
    <x:row r="16">
      <x:c r="A16" s="9" t="str">
        <x:v>entry:8ba2b392-e0cd-4371-9175-d2aa7a225e42</x:v>
      </x:c>
      <x:c r="B16" s="9" t="str">
        <x:v>Vaca Orozco, Gladys</x:v>
      </x:c>
      <x:c r="C16" s="9" t="str">
        <x:v>Sheet row 14</x:v>
      </x:c>
      <x:c r="D16" s="27" t="n">
        <x:v>46134</x:v>
      </x:c>
      <x:c r="E16" s="9" t="str">
        <x:v>Deposit</x:v>
      </x:c>
      <x:c r="F16" s="9" t="str">
        <x:v>Cash</x:v>
      </x:c>
      <x:c r="G16" s="12" t="n">
        <x:v>1740</x:v>
      </x:c>
      <x:c r="H16" s="9" t="str">
        <x:v>Yes</x:v>
      </x:c>
      <x:c r="I16" s="9" t="str">
        <x:v>legacy_sheet</x:v>
      </x:c>
      <x:c r="J16" s="9" t="str">
        <x:v>Imported deposit from 805/MTS2 sheet</x:v>
      </x:c>
      <x:c r="K16" s="9" t="str">
        <x:v>cae56c1a-52e1-4cb6-a62a-48c83c1b9cd6</x:v>
      </x:c>
    </x:row>
    <x:row r="17">
      <x:c r="A17" s="9" t="str">
        <x:v>entry:8ba2b392-e0cd-4371-9175-d2aa7a225e42</x:v>
      </x:c>
      <x:c r="B17" s="9" t="str">
        <x:v>Vaca Orozco, Gladys</x:v>
      </x:c>
      <x:c r="C17" s="9" t="str">
        <x:v>Sheet row 14</x:v>
      </x:c>
      <x:c r="D17" s="27" t="n">
        <x:v>46134</x:v>
      </x:c>
      <x:c r="E17" s="9" t="str">
        <x:v>Balance payment</x:v>
      </x:c>
      <x:c r="F17" s="9" t="str">
        <x:v>Cash</x:v>
      </x:c>
      <x:c r="G17" s="12" t="n">
        <x:v>1740</x:v>
      </x:c>
      <x:c r="H17" s="9" t="str">
        <x:v>No</x:v>
      </x:c>
      <x:c r="I17" s="9" t="str">
        <x:v>legacy_sheet</x:v>
      </x:c>
      <x:c r="J17" s="9" t="str"/>
      <x:c r="K17" s="9" t="str">
        <x:v>5b1ef5cc-ca41-4d7a-be71-aa6619b6e176</x:v>
      </x:c>
    </x:row>
    <x:row r="18">
      <x:c r="A18" s="9" t="str">
        <x:v>entry:dd5acae3-05d9-4de3-a6f9-8acabb41b824</x:v>
      </x:c>
      <x:c r="B18" s="9" t="str">
        <x:v>CATHY WOLFE Q</x:v>
      </x:c>
      <x:c r="C18" s="9" t="str">
        <x:v>Sheet row 13</x:v>
      </x:c>
      <x:c r="D18" s="27" t="n">
        <x:v>46132</x:v>
      </x:c>
      <x:c r="E18" s="9" t="str">
        <x:v>Deposit</x:v>
      </x:c>
      <x:c r="F18" s="9" t="str">
        <x:v>Zelle</x:v>
      </x:c>
      <x:c r="G18" s="12" t="n">
        <x:v>1540</x:v>
      </x:c>
      <x:c r="H18" s="9" t="str">
        <x:v>Yes</x:v>
      </x:c>
      <x:c r="I18" s="9" t="str">
        <x:v>legacy_sheet</x:v>
      </x:c>
      <x:c r="J18" s="9" t="str">
        <x:v>Imported deposit from 805/MTS2 sheet</x:v>
      </x:c>
      <x:c r="K18" s="9" t="str">
        <x:v>1a35e8ee-2788-4cd0-82fd-8a9329aee54a</x:v>
      </x:c>
    </x:row>
    <x:row r="19">
      <x:c r="A19" s="9" t="str">
        <x:v>entry:dd5acae3-05d9-4de3-a6f9-8acabb41b824</x:v>
      </x:c>
      <x:c r="B19" s="9" t="str">
        <x:v>CATHY WOLFE Q</x:v>
      </x:c>
      <x:c r="C19" s="9" t="str">
        <x:v>Sheet row 13</x:v>
      </x:c>
      <x:c r="D19" s="27" t="n">
        <x:v>46132</x:v>
      </x:c>
      <x:c r="E19" s="9" t="str">
        <x:v>Balance payment</x:v>
      </x:c>
      <x:c r="F19" s="9" t="str">
        <x:v>Zelle</x:v>
      </x:c>
      <x:c r="G19" s="12" t="n">
        <x:v>1540</x:v>
      </x:c>
      <x:c r="H19" s="9" t="str">
        <x:v>No</x:v>
      </x:c>
      <x:c r="I19" s="9" t="str">
        <x:v>legacy_sheet</x:v>
      </x:c>
      <x:c r="J19" s="9" t="str"/>
      <x:c r="K19" s="9" t="str">
        <x:v>bc000485-7bb9-46d7-a7ef-d1e7b4db2a30</x:v>
      </x:c>
    </x:row>
    <x:row r="20">
      <x:c r="A20" s="9" t="str">
        <x:v>entry:cce5e521-a905-4e74-a0eb-8938fa9497f4</x:v>
      </x:c>
      <x:c r="B20" s="9" t="str">
        <x:v>Hanson, Deb Q</x:v>
      </x:c>
      <x:c r="C20" s="9" t="str">
        <x:v>Sheet row 12</x:v>
      </x:c>
      <x:c r="D20" s="27" t="n">
        <x:v>46132</x:v>
      </x:c>
      <x:c r="E20" s="9" t="str">
        <x:v>Deposit</x:v>
      </x:c>
      <x:c r="F20" s="9" t="str">
        <x:v>Check</x:v>
      </x:c>
      <x:c r="G20" s="12" t="n">
        <x:v>1100</x:v>
      </x:c>
      <x:c r="H20" s="9" t="str">
        <x:v>Yes</x:v>
      </x:c>
      <x:c r="I20" s="9" t="str">
        <x:v>legacy_sheet</x:v>
      </x:c>
      <x:c r="J20" s="9" t="str">
        <x:v>Imported deposit from 805/MTS2 sheet</x:v>
      </x:c>
      <x:c r="K20" s="9" t="str">
        <x:v>f0501fb8-d012-464a-81a2-9161d68a9a89</x:v>
      </x:c>
    </x:row>
    <x:row r="21">
      <x:c r="A21" s="9" t="str">
        <x:v>entry:6ac4e175-0c20-4ff4-a672-2e584aa5fc01</x:v>
      </x:c>
      <x:c r="B21" s="9" t="str">
        <x:v>Locascio, Jill. CS (test)</x:v>
      </x:c>
      <x:c r="C21" s="9" t="str">
        <x:v>Sheet row 11</x:v>
      </x:c>
      <x:c r="D21" s="27" t="n">
        <x:v>46132</x:v>
      </x:c>
      <x:c r="E21" s="9" t="str">
        <x:v>Deposit</x:v>
      </x:c>
      <x:c r="F21" s="9" t="str">
        <x:v>Cash</x:v>
      </x:c>
      <x:c r="G21" s="12" t="n">
        <x:v>160</x:v>
      </x:c>
      <x:c r="H21" s="9" t="str">
        <x:v>Yes</x:v>
      </x:c>
      <x:c r="I21" s="9" t="str">
        <x:v>legacy_sheet</x:v>
      </x:c>
      <x:c r="J21" s="9" t="str">
        <x:v>Imported deposit from 805/MTS2 sheet</x:v>
      </x:c>
      <x:c r="K21" s="9" t="str">
        <x:v>3d354060-a92e-4c5d-9eda-0fde396a2975</x:v>
      </x:c>
    </x:row>
    <x:row r="22">
      <x:c r="A22" s="9" t="str">
        <x:v>entry:6ac4e175-0c20-4ff4-a672-2e584aa5fc01</x:v>
      </x:c>
      <x:c r="B22" s="9" t="str">
        <x:v>Locascio, Jill. CS (test)</x:v>
      </x:c>
      <x:c r="C22" s="9" t="str">
        <x:v>Sheet row 11</x:v>
      </x:c>
      <x:c r="D22" s="27" t="n">
        <x:v>46132</x:v>
      </x:c>
      <x:c r="E22" s="9" t="str">
        <x:v>Balance payment</x:v>
      </x:c>
      <x:c r="F22" s="9" t="str">
        <x:v>Cash</x:v>
      </x:c>
      <x:c r="G22" s="12" t="n">
        <x:v>165</x:v>
      </x:c>
      <x:c r="H22" s="9" t="str">
        <x:v>No</x:v>
      </x:c>
      <x:c r="I22" s="9" t="str">
        <x:v>legacy_sheet</x:v>
      </x:c>
      <x:c r="J22" s="9" t="str"/>
      <x:c r="K22" s="9" t="str">
        <x:v>ee12fd44-8ec2-409b-8b09-fb2df3eee6c6</x:v>
      </x:c>
    </x:row>
    <x:row r="23">
      <x:c r="A23" s="9" t="str">
        <x:v>entry:43911770-efb1-4b97-bb49-ddd8b7e1abb7</x:v>
      </x:c>
      <x:c r="B23" s="9" t="str">
        <x:v>Dolowy(Voyce)Q</x:v>
      </x:c>
      <x:c r="C23" s="9" t="str">
        <x:v>Sheet row 10</x:v>
      </x:c>
      <x:c r="D23" s="27" t="n">
        <x:v>46117</x:v>
      </x:c>
      <x:c r="E23" s="9" t="str">
        <x:v>Deposit</x:v>
      </x:c>
      <x:c r="F23" s="9" t="str">
        <x:v>Credit Card</x:v>
      </x:c>
      <x:c r="G23" s="12" t="n">
        <x:v>504</x:v>
      </x:c>
      <x:c r="H23" s="9" t="str">
        <x:v>Yes</x:v>
      </x:c>
      <x:c r="I23" s="9" t="str">
        <x:v>manual</x:v>
      </x:c>
      <x:c r="J23" s="9" t="str"/>
      <x:c r="K23" s="9" t="str">
        <x:v>fe54b00e-129b-4177-98f1-d45e81f97717</x:v>
      </x:c>
    </x:row>
    <x:row r="24">
      <x:c r="A24" s="9" t="str">
        <x:v>entry:43911770-efb1-4b97-bb49-ddd8b7e1abb7</x:v>
      </x:c>
      <x:c r="B24" s="9" t="str">
        <x:v>Dolowy(Voyce)Q</x:v>
      </x:c>
      <x:c r="C24" s="9" t="str">
        <x:v>Sheet row 10</x:v>
      </x:c>
      <x:c r="D24" s="27" t="n">
        <x:v>46117</x:v>
      </x:c>
      <x:c r="E24" s="9" t="str">
        <x:v>Second payment</x:v>
      </x:c>
      <x:c r="F24" s="9" t="str">
        <x:v>Credit Card</x:v>
      </x:c>
      <x:c r="G24" s="12" t="n">
        <x:v>271</x:v>
      </x:c>
      <x:c r="H24" s="9" t="str">
        <x:v>No</x:v>
      </x:c>
      <x:c r="I24" s="9" t="str">
        <x:v>legacy_sheet</x:v>
      </x:c>
      <x:c r="J24" s="9" t="str"/>
      <x:c r="K24" s="9" t="str">
        <x:v>207cb30f-a4ed-4dc1-9f4e-9af11df06d63</x:v>
      </x:c>
    </x:row>
    <x:row r="25">
      <x:c r="A25" s="9" t="str">
        <x:v>entry:1cdad954-d4f8-45ce-9549-6c09757d4ad2</x:v>
      </x:c>
      <x:c r="B25" s="9" t="str">
        <x:v>NEWTON Q</x:v>
      </x:c>
      <x:c r="C25" s="9" t="str">
        <x:v>Sheet row 8</x:v>
      </x:c>
      <x:c r="D25" s="27" t="n">
        <x:v>46114</x:v>
      </x:c>
      <x:c r="E25" s="9" t="str">
        <x:v>Deposit</x:v>
      </x:c>
      <x:c r="F25" s="9" t="str">
        <x:v>Check</x:v>
      </x:c>
      <x:c r="G25" s="12" t="n">
        <x:v>527</x:v>
      </x:c>
      <x:c r="H25" s="9" t="str">
        <x:v>Yes</x:v>
      </x:c>
      <x:c r="I25" s="9" t="str">
        <x:v>legacy_sheet</x:v>
      </x:c>
      <x:c r="J25" s="9" t="str">
        <x:v>Imported deposit from 805/MTS2 sheet</x:v>
      </x:c>
      <x:c r="K25" s="9" t="str">
        <x:v>6652b268-c811-40af-8026-ef4287d06d2b</x:v>
      </x:c>
    </x:row>
    <x:row r="26">
      <x:c r="A26" s="9" t="str">
        <x:v>entry:1cdad954-d4f8-45ce-9549-6c09757d4ad2</x:v>
      </x:c>
      <x:c r="B26" s="9" t="str">
        <x:v>NEWTON Q</x:v>
      </x:c>
      <x:c r="C26" s="9" t="str">
        <x:v>Sheet row 8</x:v>
      </x:c>
      <x:c r="D26" s="27" t="n">
        <x:v>46114</x:v>
      </x:c>
      <x:c r="E26" s="9" t="str">
        <x:v>Balance payment</x:v>
      </x:c>
      <x:c r="F26" s="9" t="str">
        <x:v>Check</x:v>
      </x:c>
      <x:c r="G26" s="12" t="n">
        <x:v>527</x:v>
      </x:c>
      <x:c r="H26" s="9" t="str">
        <x:v>No</x:v>
      </x:c>
      <x:c r="I26" s="9" t="str">
        <x:v>legacy_sheet</x:v>
      </x:c>
      <x:c r="J26" s="9" t="str"/>
      <x:c r="K26" s="9" t="str">
        <x:v>d2e9dc10-83cc-42c5-a3fb-cdb9f148e3d3</x:v>
      </x:c>
    </x:row>
    <x:row r="27">
      <x:c r="A27" s="9" t="str">
        <x:v>entry:f138666b-091e-46a4-96ec-e590b608bdbf</x:v>
      </x:c>
      <x:c r="B27" s="9" t="str">
        <x:v>Corrico* Q PD</x:v>
      </x:c>
      <x:c r="C27" s="9" t="str">
        <x:v>Sheet row 4</x:v>
      </x:c>
      <x:c r="D27" s="27" t="n">
        <x:v>46113</x:v>
      </x:c>
      <x:c r="E27" s="9" t="str">
        <x:v>Deposit</x:v>
      </x:c>
      <x:c r="F27" s="9" t="str">
        <x:v>Check</x:v>
      </x:c>
      <x:c r="G27" s="12" t="n">
        <x:v>2613</x:v>
      </x:c>
      <x:c r="H27" s="9" t="str">
        <x:v>Yes</x:v>
      </x:c>
      <x:c r="I27" s="9" t="str">
        <x:v>legacy_sheet</x:v>
      </x:c>
      <x:c r="J27" s="9" t="str">
        <x:v>Imported deposit from 805/MTS2 sheet</x:v>
      </x:c>
      <x:c r="K27" s="9" t="str">
        <x:v>ee84eb3d-05e4-4db5-bd88-e6caa73b82ea</x:v>
      </x:c>
    </x:row>
    <x:row r="28">
      <x:c r="A28" s="9" t="str">
        <x:v>entry:f138666b-091e-46a4-96ec-e590b608bdbf</x:v>
      </x:c>
      <x:c r="B28" s="9" t="str">
        <x:v>Corrico* Q PD</x:v>
      </x:c>
      <x:c r="C28" s="9" t="str">
        <x:v>Sheet row 4</x:v>
      </x:c>
      <x:c r="D28" s="27" t="n">
        <x:v>46113</x:v>
      </x:c>
      <x:c r="E28" s="9" t="str">
        <x:v>Second payment</x:v>
      </x:c>
      <x:c r="F28" s="9" t="str">
        <x:v>Check</x:v>
      </x:c>
      <x:c r="G28" s="12" t="n">
        <x:v>2617</x:v>
      </x:c>
      <x:c r="H28" s="9" t="str">
        <x:v>No</x:v>
      </x:c>
      <x:c r="I28" s="9" t="str">
        <x:v>legacy_sheet</x:v>
      </x:c>
      <x:c r="J28" s="9" t="str">
        <x:v>Imported 2nd payment from 805/MTS2 sheet</x:v>
      </x:c>
      <x:c r="K28" s="9" t="str">
        <x:v>9235554b-6dde-4ed1-8290-911ec3918673</x:v>
      </x:c>
    </x:row>
    <x:row r="29">
      <x:c r="A29" s="9" t="str">
        <x:v>entry:68dacd3c-ccdb-4208-a21b-741c120c58f5</x:v>
      </x:c>
      <x:c r="B29" s="9" t="str">
        <x:v>GRAY. Q PD</x:v>
      </x:c>
      <x:c r="C29" s="9" t="str">
        <x:v>Sheet row 3</x:v>
      </x:c>
      <x:c r="D29" s="27" t="n">
        <x:v>46113</x:v>
      </x:c>
      <x:c r="E29" s="9" t="str">
        <x:v>Deposit</x:v>
      </x:c>
      <x:c r="F29" s="9" t="str">
        <x:v>Credit Card</x:v>
      </x:c>
      <x:c r="G29" s="12" t="n">
        <x:v>1250</x:v>
      </x:c>
      <x:c r="H29" s="9" t="str">
        <x:v>Yes</x:v>
      </x:c>
      <x:c r="I29" s="9" t="str">
        <x:v>legacy_sheet</x:v>
      </x:c>
      <x:c r="J29" s="9" t="str">
        <x:v>Imported deposit from 805/MTS2 sheet</x:v>
      </x:c>
      <x:c r="K29" s="9" t="str">
        <x:v>06be8067-a892-481a-b3f4-c596e2ec5d7a</x:v>
      </x:c>
    </x:row>
    <x:row r="30">
      <x:c r="A30" s="9" t="str">
        <x:v>entry:68dacd3c-ccdb-4208-a21b-741c120c58f5</x:v>
      </x:c>
      <x:c r="B30" s="9" t="str">
        <x:v>GRAY. Q PD</x:v>
      </x:c>
      <x:c r="C30" s="9" t="str">
        <x:v>Sheet row 3</x:v>
      </x:c>
      <x:c r="D30" s="27" t="n">
        <x:v>46113</x:v>
      </x:c>
      <x:c r="E30" s="9" t="str">
        <x:v>Second payment</x:v>
      </x:c>
      <x:c r="F30" s="9" t="str">
        <x:v>Credit Card</x:v>
      </x:c>
      <x:c r="G30" s="12" t="n">
        <x:v>1250</x:v>
      </x:c>
      <x:c r="H30" s="9" t="str">
        <x:v>No</x:v>
      </x:c>
      <x:c r="I30" s="9" t="str">
        <x:v>legacy_sheet</x:v>
      </x:c>
      <x:c r="J30" s="9" t="str">
        <x:v>Imported 2nd payment from 805/MTS2 sheet</x:v>
      </x:c>
      <x:c r="K30" s="9" t="str">
        <x:v>fe7022ce-8441-4e23-aeb2-3693cb6ade6d</x:v>
      </x:c>
    </x:row>
    <x:row r="31">
      <x:c r="A31" s="9" t="str">
        <x:v>entry:61d7c61d-f761-484b-9b8d-eb71ca68f5aa</x:v>
      </x:c>
      <x:c r="B31" s="9" t="str">
        <x:v>Rodeigez Q</x:v>
      </x:c>
      <x:c r="C31" s="9" t="str">
        <x:v>Sheet row 7</x:v>
      </x:c>
      <x:c r="D31" s="27" t="n">
        <x:v>46113</x:v>
      </x:c>
      <x:c r="E31" s="9" t="str">
        <x:v>Deposit</x:v>
      </x:c>
      <x:c r="F31" s="9" t="str">
        <x:v>Zelle</x:v>
      </x:c>
      <x:c r="G31" s="12" t="n">
        <x:v>1352</x:v>
      </x:c>
      <x:c r="H31" s="9" t="str">
        <x:v>Yes</x:v>
      </x:c>
      <x:c r="I31" s="9" t="str">
        <x:v>legacy_sheet</x:v>
      </x:c>
      <x:c r="J31" s="9" t="str">
        <x:v>Imported deposit from 805/MTS2 sheet</x:v>
      </x:c>
      <x:c r="K31" s="9" t="str">
        <x:v>3842972e-f1d7-44ea-bffa-0b2c60fe62e6</x:v>
      </x:c>
    </x:row>
    <x:row r="32">
      <x:c r="A32" s="9" t="str">
        <x:v>entry:61d7c61d-f761-484b-9b8d-eb71ca68f5aa</x:v>
      </x:c>
      <x:c r="B32" s="9" t="str">
        <x:v>Rodeigez Q</x:v>
      </x:c>
      <x:c r="C32" s="9" t="str">
        <x:v>Sheet row 7</x:v>
      </x:c>
      <x:c r="D32" s="27" t="n">
        <x:v>46113</x:v>
      </x:c>
      <x:c r="E32" s="9" t="str">
        <x:v>Balance payment</x:v>
      </x:c>
      <x:c r="F32" s="9" t="str">
        <x:v>Zelle</x:v>
      </x:c>
      <x:c r="G32" s="12" t="n">
        <x:v>1352</x:v>
      </x:c>
      <x:c r="H32" s="9" t="str">
        <x:v>No</x:v>
      </x:c>
      <x:c r="I32" s="9" t="str">
        <x:v>legacy_sheet</x:v>
      </x:c>
      <x:c r="J32" s="9" t="str"/>
      <x:c r="K32" s="9" t="str">
        <x:v>7aff621e-f029-4ee6-9278-ade0f2285d59</x:v>
      </x:c>
    </x:row>
    <x:row r="33">
      <x:c r="A33" s="9" t="str">
        <x:v>entry:f71a0bd4-680e-4ecf-a649-2cf834c4a98e</x:v>
      </x:c>
      <x:c r="B33" s="9" t="str">
        <x:v>Seigel*</x:v>
      </x:c>
      <x:c r="C33" s="9" t="str">
        <x:v>Sheet row 5</x:v>
      </x:c>
      <x:c r="D33" s="27" t="n">
        <x:v>46113</x:v>
      </x:c>
      <x:c r="E33" s="9" t="str">
        <x:v>Deposit</x:v>
      </x:c>
      <x:c r="F33" s="9" t="str">
        <x:v>Check</x:v>
      </x:c>
      <x:c r="G33" s="12" t="n">
        <x:v>2113</x:v>
      </x:c>
      <x:c r="H33" s="9" t="str">
        <x:v>Yes</x:v>
      </x:c>
      <x:c r="I33" s="9" t="str">
        <x:v>legacy_sheet</x:v>
      </x:c>
      <x:c r="J33" s="9" t="str">
        <x:v>Imported deposit from 805/MTS2 sheet</x:v>
      </x:c>
      <x:c r="K33" s="9" t="str">
        <x:v>d9972727-8f4a-4d75-bac4-8698b14cadec</x:v>
      </x:c>
    </x:row>
    <x:row r="34">
      <x:c r="A34" s="9" t="str">
        <x:v>entry:a8fd9886-b592-4806-9dda-e0e1d46ffba5</x:v>
      </x:c>
      <x:c r="B34" s="9" t="str">
        <x:v>Torres* Q PD</x:v>
      </x:c>
      <x:c r="C34" s="9" t="str">
        <x:v>Sheet row 2</x:v>
      </x:c>
      <x:c r="D34" s="27" t="n">
        <x:v>46113</x:v>
      </x:c>
      <x:c r="E34" s="9" t="str">
        <x:v>Deposit</x:v>
      </x:c>
      <x:c r="F34" s="9" t="str">
        <x:v>Zelle</x:v>
      </x:c>
      <x:c r="G34" s="12" t="n">
        <x:v>1250</x:v>
      </x:c>
      <x:c r="H34" s="9" t="str">
        <x:v>Yes</x:v>
      </x:c>
      <x:c r="I34" s="9" t="str">
        <x:v>legacy_sheet</x:v>
      </x:c>
      <x:c r="J34" s="9" t="str">
        <x:v>Imported deposit from 805/MTS2 sheet</x:v>
      </x:c>
      <x:c r="K34" s="9" t="str">
        <x:v>c87776c0-83a1-4ac6-96b0-3103a2091c12</x:v>
      </x:c>
    </x:row>
    <x:row r="35">
      <x:c r="A35" s="9" t="str">
        <x:v>entry:a8fd9886-b592-4806-9dda-e0e1d46ffba5</x:v>
      </x:c>
      <x:c r="B35" s="9" t="str">
        <x:v>Torres* Q PD</x:v>
      </x:c>
      <x:c r="C35" s="9" t="str">
        <x:v>Sheet row 2</x:v>
      </x:c>
      <x:c r="D35" s="27" t="n">
        <x:v>46113</x:v>
      </x:c>
      <x:c r="E35" s="9" t="str">
        <x:v>Second payment</x:v>
      </x:c>
      <x:c r="F35" s="9" t="str">
        <x:v>Zelle</x:v>
      </x:c>
      <x:c r="G35" s="12" t="n">
        <x:v>1250</x:v>
      </x:c>
      <x:c r="H35" s="9" t="str">
        <x:v>No</x:v>
      </x:c>
      <x:c r="I35" s="9" t="str">
        <x:v>legacy_sheet</x:v>
      </x:c>
      <x:c r="J35" s="9" t="str">
        <x:v>Imported 2nd payment from 805/MTS2 sheet</x:v>
      </x:c>
      <x:c r="K35" s="9" t="str">
        <x:v>ba26c638-6cb5-4c1f-8d66-9a4fa38bbc8b</x:v>
      </x:c>
    </x:row>
    <x:row r="36">
      <x:c r="A36" s="9" t="str">
        <x:v>entry:171c5f6b-3ece-4369-8d49-042f2b260a6b</x:v>
      </x:c>
      <x:c r="B36" s="9" t="str">
        <x:v>Waldmen Q</x:v>
      </x:c>
      <x:c r="C36" s="9" t="str">
        <x:v>Sheet row 6</x:v>
      </x:c>
      <x:c r="D36" s="27" t="n">
        <x:v>46113</x:v>
      </x:c>
      <x:c r="E36" s="9" t="str">
        <x:v>Deposit</x:v>
      </x:c>
      <x:c r="F36" s="9" t="str">
        <x:v>Credit Card</x:v>
      </x:c>
      <x:c r="G36" s="12" t="n">
        <x:v>2011</x:v>
      </x:c>
      <x:c r="H36" s="9" t="str">
        <x:v>Yes</x:v>
      </x:c>
      <x:c r="I36" s="9" t="str">
        <x:v>legacy_sheet</x:v>
      </x:c>
      <x:c r="J36" s="9" t="str">
        <x:v>Imported deposit from 805/MTS2 sheet</x:v>
      </x:c>
      <x:c r="K36" s="9" t="str">
        <x:v>357c2a32-0414-4821-a73a-852e433a2fed</x:v>
      </x:c>
    </x:row>
    <x:row r="37">
      <x:c r="A37" s="9" t="str">
        <x:v>entry:70caaac3-3d24-4ef0-9770-b2eb76eafff9</x:v>
      </x:c>
      <x:c r="B37" s="9" t="str">
        <x:v>Milani Q</x:v>
      </x:c>
      <x:c r="C37" s="9" t="str">
        <x:v>Sheet row 9</x:v>
      </x:c>
      <x:c r="D37" s="27" t="n">
        <x:v>46108</x:v>
      </x:c>
      <x:c r="E37" s="9" t="str">
        <x:v>Deposit</x:v>
      </x:c>
      <x:c r="F37" s="9" t="str">
        <x:v>Zelle</x:v>
      </x:c>
      <x:c r="G37" s="12" t="n">
        <x:v>672</x:v>
      </x:c>
      <x:c r="H37" s="9" t="str">
        <x:v>Yes</x:v>
      </x:c>
      <x:c r="I37" s="9" t="str">
        <x:v>legacy_sheet</x:v>
      </x:c>
      <x:c r="J37" s="9" t="str">
        <x:v>Imported deposit from 805/MTS2 sheet</x:v>
      </x:c>
      <x:c r="K37" s="9" t="str">
        <x:v>2bbeff32-a92d-4aeb-9edc-7036186d6274</x:v>
      </x:c>
    </x:row>
    <x:row r="38">
      <x:c r="A38" s="10" t="str">
        <x:v>entry:70caaac3-3d24-4ef0-9770-b2eb76eafff9</x:v>
      </x:c>
      <x:c r="B38" s="10" t="str">
        <x:v>Milani Q</x:v>
      </x:c>
      <x:c r="C38" s="10" t="str">
        <x:v>Sheet row 9</x:v>
      </x:c>
      <x:c r="D38" s="28" t="n">
        <x:v>46108</x:v>
      </x:c>
      <x:c r="E38" s="10" t="str">
        <x:v>Balance payment</x:v>
      </x:c>
      <x:c r="F38" s="10" t="str">
        <x:v>Zelle</x:v>
      </x:c>
      <x:c r="G38" s="13" t="n">
        <x:v>671</x:v>
      </x:c>
      <x:c r="H38" s="10" t="str">
        <x:v>No</x:v>
      </x:c>
      <x:c r="I38" s="10" t="str">
        <x:v>legacy_sheet</x:v>
      </x:c>
      <x:c r="J38" s="10" t="str"/>
      <x:c r="K38" s="10" t="str">
        <x:v>8798d246-1bf9-4877-8dbc-c3886961127c</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4" hidden="0" customWidth="1"/>
    <x:col min="4" max="4" width="18" hidden="0" customWidth="1"/>
    <x:col min="5" max="5" width="18" hidden="0" customWidth="1"/>
    <x:col min="6" max="6" width="14" hidden="0" customWidth="1"/>
    <x:col min="7" max="7" width="16" hidden="0" customWidth="1"/>
    <x:col min="8" max="8" width="14" hidden="0" customWidth="1"/>
    <x:col min="9" max="9" width="18" hidden="0" customWidth="1"/>
    <x:col min="10" max="10" width="36" hidden="0" customWidth="1"/>
  </x:cols>
  <x:sheetData>
    <x:row r="1">
      <x:c r="A1" s="8" t="str">
        <x:v>Row Key</x:v>
      </x:c>
      <x:c r="B1" s="8" t="str">
        <x:v>Customer</x:v>
      </x:c>
      <x:c r="C1" s="8" t="str">
        <x:v>Sale Total</x:v>
      </x:c>
      <x:c r="D1" s="8" t="str">
        <x:v>Actual Customer Money In</x:v>
      </x:c>
      <x:c r="E1" s="8" t="str">
        <x:v>Manufacturer / COGS Paid</x:v>
      </x:c>
      <x:c r="F1" s="8" t="str">
        <x:v>Installer Paid</x:v>
      </x:c>
      <x:c r="G1" s="8" t="str">
        <x:v>Commissions Paid</x:v>
      </x:c>
      <x:c r="H1" s="8" t="str">
        <x:v>Other Outflows</x:v>
      </x:c>
      <x:c r="I1" s="8" t="str">
        <x:v>Expected Net Cash For Job</x:v>
      </x:c>
      <x:c r="J1" s="8" t="str">
        <x:v>Notes</x:v>
      </x:c>
    </x:row>
    <x:row r="2">
      <x:c r="A2" s="9" t="str">
        <x:v>quote:d7675858-a5bb-4b16-8175-629470546360</x:v>
      </x:c>
      <x:c r="B2" s="9" t="str">
        <x:v>Lynne Hofflund</x:v>
      </x:c>
      <x:c r="C2" s="12" t="n">
        <x:f>VLOOKUP($A2,'Job Ledger'!$A$2:$T$500,7,FALSE)</x:f>
        <x:v>981</x:v>
      </x:c>
      <x:c r="D2" s="12" t="n">
        <x:f>VLOOKUP($A2,'Job Ledger'!$A$2:$T$500,11,FALSE)</x:f>
        <x:v>0</x:v>
      </x:c>
      <x:c r="E2" s="12" t="str"/>
      <x:c r="F2" s="12" t="str"/>
      <x:c r="G2" s="12" t="str"/>
      <x:c r="H2" s="12" t="str"/>
      <x:c r="I2" s="12" t="n">
        <x:f>D2-SUM(E2:H2)</x:f>
        <x:v>0</x:v>
      </x:c>
      <x:c r="J2" s="9" t="str"/>
    </x:row>
    <x:row r="3">
      <x:c r="A3" s="9" t="str">
        <x:v>quote:7a7b478a-22ad-49b4-8efe-6307cb64a0de</x:v>
      </x:c>
      <x:c r="B3" s="9" t="str">
        <x:v>Michelle Saucedo</x:v>
      </x:c>
      <x:c r="C3" s="12" t="n">
        <x:f>VLOOKUP($A3,'Job Ledger'!$A$2:$T$500,7,FALSE)</x:f>
        <x:v>819</x:v>
      </x:c>
      <x:c r="D3" s="12" t="n">
        <x:f>VLOOKUP($A3,'Job Ledger'!$A$2:$T$500,11,FALSE)</x:f>
        <x:v>0</x:v>
      </x:c>
      <x:c r="E3" s="12" t="str"/>
      <x:c r="F3" s="12" t="str"/>
      <x:c r="G3" s="12" t="str"/>
      <x:c r="H3" s="12" t="str"/>
      <x:c r="I3" s="12" t="n">
        <x:f>D3-SUM(E3:H3)</x:f>
        <x:v>0</x:v>
      </x:c>
      <x:c r="J3" s="9" t="str"/>
    </x:row>
    <x:row r="4">
      <x:c r="A4" s="9" t="str">
        <x:v>quote:f07aaebd-10ad-4a36-a167-cb66843396f3</x:v>
      </x:c>
      <x:c r="B4" s="9" t="str">
        <x:v>Denise Derenthal</x:v>
      </x:c>
      <x:c r="C4" s="12" t="n">
        <x:f>VLOOKUP($A4,'Job Ledger'!$A$2:$T$500,7,FALSE)</x:f>
        <x:v>2033</x:v>
      </x:c>
      <x:c r="D4" s="12" t="n">
        <x:f>VLOOKUP($A4,'Job Ledger'!$A$2:$T$500,11,FALSE)</x:f>
        <x:v>0</x:v>
      </x:c>
      <x:c r="E4" s="12" t="str"/>
      <x:c r="F4" s="12" t="str"/>
      <x:c r="G4" s="12" t="str"/>
      <x:c r="H4" s="12" t="str"/>
      <x:c r="I4" s="12" t="n">
        <x:f>D4-SUM(E4:H4)</x:f>
        <x:v>0</x:v>
      </x:c>
      <x:c r="J4" s="9" t="str"/>
    </x:row>
    <x:row r="5">
      <x:c r="A5" s="9" t="str">
        <x:v>quote:e105aa34-fbb4-4b31-b063-8d7816035c9f</x:v>
      </x:c>
      <x:c r="B5" s="9" t="str">
        <x:v>Kristen Tranquada</x:v>
      </x:c>
      <x:c r="C5" s="12" t="n">
        <x:f>VLOOKUP($A5,'Job Ledger'!$A$2:$T$500,7,FALSE)</x:f>
        <x:v>3180</x:v>
      </x:c>
      <x:c r="D5" s="12" t="n">
        <x:f>VLOOKUP($A5,'Job Ledger'!$A$2:$T$500,11,FALSE)</x:f>
        <x:v>0</x:v>
      </x:c>
      <x:c r="E5" s="12" t="str"/>
      <x:c r="F5" s="12" t="str"/>
      <x:c r="G5" s="12" t="str"/>
      <x:c r="H5" s="12" t="str"/>
      <x:c r="I5" s="12" t="n">
        <x:f>D5-SUM(E5:H5)</x:f>
        <x:v>0</x:v>
      </x:c>
      <x:c r="J5" s="9" t="str"/>
    </x:row>
    <x:row r="6">
      <x:c r="A6" s="9" t="str">
        <x:v>quote:6bcbcd23-6630-4fdd-8233-35782e7698a5</x:v>
      </x:c>
      <x:c r="B6" s="9" t="str">
        <x:v>Christine Mier</x:v>
      </x:c>
      <x:c r="C6" s="12" t="n">
        <x:f>VLOOKUP($A6,'Job Ledger'!$A$2:$T$500,7,FALSE)</x:f>
        <x:v>5055.1</x:v>
      </x:c>
      <x:c r="D6" s="12" t="n">
        <x:f>VLOOKUP($A6,'Job Ledger'!$A$2:$T$500,11,FALSE)</x:f>
        <x:v>0</x:v>
      </x:c>
      <x:c r="E6" s="12" t="str"/>
      <x:c r="F6" s="12" t="str"/>
      <x:c r="G6" s="12" t="str"/>
      <x:c r="H6" s="12" t="str"/>
      <x:c r="I6" s="12" t="n">
        <x:f>D6-SUM(E6:H6)</x:f>
        <x:v>0</x:v>
      </x:c>
      <x:c r="J6" s="9" t="str"/>
    </x:row>
    <x:row r="7">
      <x:c r="A7" s="9" t="str">
        <x:v>quote:c12f409a-0e8a-4f95-a93a-e5ec5f93feb1</x:v>
      </x:c>
      <x:c r="B7" s="9" t="str">
        <x:v>Kahn, Andrew</x:v>
      </x:c>
      <x:c r="C7" s="12" t="n">
        <x:f>VLOOKUP($A7,'Job Ledger'!$A$2:$T$500,7,FALSE)</x:f>
        <x:v>1408</x:v>
      </x:c>
      <x:c r="D7" s="12" t="n">
        <x:f>VLOOKUP($A7,'Job Ledger'!$A$2:$T$500,11,FALSE)</x:f>
        <x:v>0</x:v>
      </x:c>
      <x:c r="E7" s="12" t="str"/>
      <x:c r="F7" s="12" t="str"/>
      <x:c r="G7" s="12" t="str"/>
      <x:c r="H7" s="12" t="str"/>
      <x:c r="I7" s="12" t="n">
        <x:f>D7-SUM(E7:H7)</x:f>
        <x:v>0</x:v>
      </x:c>
      <x:c r="J7" s="9" t="str"/>
    </x:row>
    <x:row r="8">
      <x:c r="A8" s="9" t="str">
        <x:v>quote:f76c03ad-5e0d-4a01-b4ee-abe47d962861</x:v>
      </x:c>
      <x:c r="B8" s="9" t="str">
        <x:v>Monsi, Magana</x:v>
      </x:c>
      <x:c r="C8" s="12" t="n">
        <x:f>VLOOKUP($A8,'Job Ledger'!$A$2:$T$500,7,FALSE)</x:f>
        <x:v>1314</x:v>
      </x:c>
      <x:c r="D8" s="12" t="n">
        <x:f>VLOOKUP($A8,'Job Ledger'!$A$2:$T$500,11,FALSE)</x:f>
        <x:v>857</x:v>
      </x:c>
      <x:c r="E8" s="12" t="str"/>
      <x:c r="F8" s="12" t="str"/>
      <x:c r="G8" s="12" t="str"/>
      <x:c r="H8" s="12" t="str"/>
      <x:c r="I8" s="12" t="n">
        <x:f>D8-SUM(E8:H8)</x:f>
        <x:v>857</x:v>
      </x:c>
      <x:c r="J8" s="9" t="str"/>
    </x:row>
    <x:row r="9">
      <x:c r="A9" s="9" t="str">
        <x:v>quote:c9e90198-a655-4cd5-a635-9386bdb3a552</x:v>
      </x:c>
      <x:c r="B9" s="9" t="str">
        <x:v>Laura McCarren</x:v>
      </x:c>
      <x:c r="C9" s="12" t="n">
        <x:f>VLOOKUP($A9,'Job Ledger'!$A$2:$T$500,7,FALSE)</x:f>
        <x:v>3205.12</x:v>
      </x:c>
      <x:c r="D9" s="12" t="n">
        <x:f>VLOOKUP($A9,'Job Ledger'!$A$2:$T$500,11,FALSE)</x:f>
        <x:v>1602</x:v>
      </x:c>
      <x:c r="E9" s="12" t="str"/>
      <x:c r="F9" s="12" t="str"/>
      <x:c r="G9" s="12" t="str"/>
      <x:c r="H9" s="12" t="str"/>
      <x:c r="I9" s="12" t="n">
        <x:f>D9-SUM(E9:H9)</x:f>
        <x:v>1602</x:v>
      </x:c>
      <x:c r="J9" s="9" t="str"/>
    </x:row>
    <x:row r="10">
      <x:c r="A10" s="9" t="str">
        <x:v>quote:801b3082-e3eb-4b03-b4c5-df44b71b94a8</x:v>
      </x:c>
      <x:c r="B10" s="9" t="str">
        <x:v>Brian Wright 2</x:v>
      </x:c>
      <x:c r="C10" s="12" t="n">
        <x:f>VLOOKUP($A10,'Job Ledger'!$A$2:$T$500,7,FALSE)</x:f>
        <x:v>4771.87</x:v>
      </x:c>
      <x:c r="D10" s="12" t="n">
        <x:f>VLOOKUP($A10,'Job Ledger'!$A$2:$T$500,11,FALSE)</x:f>
        <x:v>2386</x:v>
      </x:c>
      <x:c r="E10" s="12" t="str"/>
      <x:c r="F10" s="12" t="str"/>
      <x:c r="G10" s="12" t="str"/>
      <x:c r="H10" s="12" t="str"/>
      <x:c r="I10" s="12" t="n">
        <x:f>D10-SUM(E10:H10)</x:f>
        <x:v>2386</x:v>
      </x:c>
      <x:c r="J10" s="9" t="str"/>
    </x:row>
    <x:row r="11">
      <x:c r="A11" s="9" t="str">
        <x:v>quote:30dfd44f-e47d-4e93-bebd-eca256d80ce6</x:v>
      </x:c>
      <x:c r="B11" s="9" t="str">
        <x:v>Donna Schnopp</x:v>
      </x:c>
      <x:c r="C11" s="12" t="n">
        <x:f>VLOOKUP($A11,'Job Ledger'!$A$2:$T$500,7,FALSE)</x:f>
        <x:v>7710</x:v>
      </x:c>
      <x:c r="D11" s="12" t="n">
        <x:f>VLOOKUP($A11,'Job Ledger'!$A$2:$T$500,11,FALSE)</x:f>
        <x:v>3855</x:v>
      </x:c>
      <x:c r="E11" s="12" t="str"/>
      <x:c r="F11" s="12" t="str"/>
      <x:c r="G11" s="12" t="str"/>
      <x:c r="H11" s="12" t="str"/>
      <x:c r="I11" s="12" t="n">
        <x:f>D11-SUM(E11:H11)</x:f>
        <x:v>3855</x:v>
      </x:c>
      <x:c r="J11" s="9" t="str"/>
    </x:row>
    <x:row r="12">
      <x:c r="A12" s="9" t="str">
        <x:v>quote:0ef4ab75-0bd8-45b4-be19-6978bfc85fea</x:v>
      </x:c>
      <x:c r="B12" s="9" t="str">
        <x:v>Steve Tomlinson</x:v>
      </x:c>
      <x:c r="C12" s="12" t="n">
        <x:f>VLOOKUP($A12,'Job Ledger'!$A$2:$T$500,7,FALSE)</x:f>
        <x:v>5540</x:v>
      </x:c>
      <x:c r="D12" s="12" t="n">
        <x:f>VLOOKUP($A12,'Job Ledger'!$A$2:$T$500,11,FALSE)</x:f>
        <x:v>2770</x:v>
      </x:c>
      <x:c r="E12" s="12" t="str"/>
      <x:c r="F12" s="12" t="str"/>
      <x:c r="G12" s="12" t="str"/>
      <x:c r="H12" s="12" t="str"/>
      <x:c r="I12" s="12" t="n">
        <x:f>D12-SUM(E12:H12)</x:f>
        <x:v>2770</x:v>
      </x:c>
      <x:c r="J12" s="9" t="str"/>
    </x:row>
    <x:row r="13">
      <x:c r="A13" s="9" t="str">
        <x:v>quote:50ddf918-2466-4026-9d85-ede3cf785bcc</x:v>
      </x:c>
      <x:c r="B13" s="9" t="str">
        <x:v>Karen Aquiar</x:v>
      </x:c>
      <x:c r="C13" s="12" t="n">
        <x:f>VLOOKUP($A13,'Job Ledger'!$A$2:$T$500,7,FALSE)</x:f>
        <x:v>8074.04</x:v>
      </x:c>
      <x:c r="D13" s="12" t="n">
        <x:f>VLOOKUP($A13,'Job Ledger'!$A$2:$T$500,11,FALSE)</x:f>
        <x:v>4037.02</x:v>
      </x:c>
      <x:c r="E13" s="12" t="str"/>
      <x:c r="F13" s="12" t="str"/>
      <x:c r="G13" s="12" t="str"/>
      <x:c r="H13" s="12" t="str"/>
      <x:c r="I13" s="12" t="n">
        <x:f>D13-SUM(E13:H13)</x:f>
        <x:v>4037.02</x:v>
      </x:c>
      <x:c r="J13" s="9" t="str"/>
    </x:row>
    <x:row r="14">
      <x:c r="A14" s="9" t="str">
        <x:v>quote:ca5d50c6-bc8a-4f7e-b668-c0941a49243a</x:v>
      </x:c>
      <x:c r="B14" s="9" t="str">
        <x:v>Clarissa Palomaria</x:v>
      </x:c>
      <x:c r="C14" s="12" t="n">
        <x:f>VLOOKUP($A14,'Job Ledger'!$A$2:$T$500,7,FALSE)</x:f>
        <x:v>3015</x:v>
      </x:c>
      <x:c r="D14" s="12" t="n">
        <x:f>VLOOKUP($A14,'Job Ledger'!$A$2:$T$500,11,FALSE)</x:f>
        <x:v>1507.5</x:v>
      </x:c>
      <x:c r="E14" s="12" t="str"/>
      <x:c r="F14" s="12" t="str"/>
      <x:c r="G14" s="12" t="str"/>
      <x:c r="H14" s="12" t="str"/>
      <x:c r="I14" s="12" t="n">
        <x:f>D14-SUM(E14:H14)</x:f>
        <x:v>1507.5</x:v>
      </x:c>
      <x:c r="J14" s="9" t="str"/>
    </x:row>
    <x:row r="15">
      <x:c r="A15" s="9" t="str">
        <x:v>quote:4041268a-4f82-4100-987c-9fda35cca230</x:v>
      </x:c>
      <x:c r="B15" s="9" t="str">
        <x:v>Elizabeth Mathieu</x:v>
      </x:c>
      <x:c r="C15" s="12" t="n">
        <x:f>VLOOKUP($A15,'Job Ledger'!$A$2:$T$500,7,FALSE)</x:f>
        <x:v>633</x:v>
      </x:c>
      <x:c r="D15" s="12" t="n">
        <x:f>VLOOKUP($A15,'Job Ledger'!$A$2:$T$500,11,FALSE)</x:f>
        <x:v>633</x:v>
      </x:c>
      <x:c r="E15" s="12" t="str"/>
      <x:c r="F15" s="12" t="str"/>
      <x:c r="G15" s="12" t="str"/>
      <x:c r="H15" s="12" t="str"/>
      <x:c r="I15" s="12" t="n">
        <x:f>D15-SUM(E15:H15)</x:f>
        <x:v>633</x:v>
      </x:c>
      <x:c r="J15" s="9" t="str"/>
    </x:row>
    <x:row r="16">
      <x:c r="A16" s="9" t="str">
        <x:v>quote:6f8d6f45-6124-4481-bf79-25e86916907c</x:v>
      </x:c>
      <x:c r="B16" s="9" t="str">
        <x:v>Chris Aguilar</x:v>
      </x:c>
      <x:c r="C16" s="12" t="n">
        <x:f>VLOOKUP($A16,'Job Ledger'!$A$2:$T$500,7,FALSE)</x:f>
        <x:v>3544.4</x:v>
      </x:c>
      <x:c r="D16" s="12" t="n">
        <x:f>VLOOKUP($A16,'Job Ledger'!$A$2:$T$500,11,FALSE)</x:f>
        <x:v>0</x:v>
      </x:c>
      <x:c r="E16" s="12" t="str"/>
      <x:c r="F16" s="12" t="str"/>
      <x:c r="G16" s="12" t="str"/>
      <x:c r="H16" s="12" t="str"/>
      <x:c r="I16" s="12" t="n">
        <x:f>D16-SUM(E16:H16)</x:f>
        <x:v>0</x:v>
      </x:c>
      <x:c r="J16" s="9" t="str"/>
    </x:row>
    <x:row r="17">
      <x:c r="A17" s="9" t="str">
        <x:v>quote:0d79af2e-0d99-40e6-ac00-4e7a04fb231d</x:v>
      </x:c>
      <x:c r="B17" s="9" t="str">
        <x:v>Mary Ann</x:v>
      </x:c>
      <x:c r="C17" s="12" t="n">
        <x:f>VLOOKUP($A17,'Job Ledger'!$A$2:$T$500,7,FALSE)</x:f>
        <x:v>9035.31</x:v>
      </x:c>
      <x:c r="D17" s="12" t="n">
        <x:f>VLOOKUP($A17,'Job Ledger'!$A$2:$T$500,11,FALSE)</x:f>
        <x:v>0</x:v>
      </x:c>
      <x:c r="E17" s="12" t="str"/>
      <x:c r="F17" s="12" t="str"/>
      <x:c r="G17" s="12" t="str"/>
      <x:c r="H17" s="12" t="str"/>
      <x:c r="I17" s="12" t="n">
        <x:f>D17-SUM(E17:H17)</x:f>
        <x:v>0</x:v>
      </x:c>
      <x:c r="J17" s="9" t="str"/>
    </x:row>
    <x:row r="18">
      <x:c r="A18" s="9" t="str">
        <x:v>quote:447ed109-b535-450f-a8ac-c93ed69345e0</x:v>
      </x:c>
      <x:c r="B18" s="9" t="str">
        <x:v>Melisa Asimus</x:v>
      </x:c>
      <x:c r="C18" s="12" t="n">
        <x:f>VLOOKUP($A18,'Job Ledger'!$A$2:$T$500,7,FALSE)</x:f>
        <x:v>3061.19</x:v>
      </x:c>
      <x:c r="D18" s="12" t="n">
        <x:f>VLOOKUP($A18,'Job Ledger'!$A$2:$T$500,11,FALSE)</x:f>
        <x:v>1500</x:v>
      </x:c>
      <x:c r="E18" s="12" t="str"/>
      <x:c r="F18" s="12" t="str"/>
      <x:c r="G18" s="12" t="str"/>
      <x:c r="H18" s="12" t="str"/>
      <x:c r="I18" s="12" t="n">
        <x:f>D18-SUM(E18:H18)</x:f>
        <x:v>1500</x:v>
      </x:c>
      <x:c r="J18" s="9" t="str"/>
    </x:row>
    <x:row r="19">
      <x:c r="A19" s="9" t="str">
        <x:v>quote:63267a7e-3ee2-469f-b687-8eb5d6f399d7</x:v>
      </x:c>
      <x:c r="B19" s="9" t="str">
        <x:v>Sam Dixit</x:v>
      </x:c>
      <x:c r="C19" s="12" t="n">
        <x:f>VLOOKUP($A19,'Job Ledger'!$A$2:$T$500,7,FALSE)</x:f>
        <x:v>5136.3</x:v>
      </x:c>
      <x:c r="D19" s="12" t="n">
        <x:f>VLOOKUP($A19,'Job Ledger'!$A$2:$T$500,11,FALSE)</x:f>
        <x:v>0</x:v>
      </x:c>
      <x:c r="E19" s="12" t="str"/>
      <x:c r="F19" s="12" t="str"/>
      <x:c r="G19" s="12" t="str"/>
      <x:c r="H19" s="12" t="str"/>
      <x:c r="I19" s="12" t="n">
        <x:f>D19-SUM(E19:H19)</x:f>
        <x:v>0</x:v>
      </x:c>
      <x:c r="J19" s="9" t="str"/>
    </x:row>
    <x:row r="20">
      <x:c r="A20" s="9" t="str">
        <x:v>quote:64dde41e-09cb-40b3-9f8b-72dc1b21450c</x:v>
      </x:c>
      <x:c r="B20" s="9" t="str">
        <x:v>First 5</x:v>
      </x:c>
      <x:c r="C20" s="12" t="n">
        <x:f>VLOOKUP($A20,'Job Ledger'!$A$2:$T$500,7,FALSE)</x:f>
        <x:v>1040</x:v>
      </x:c>
      <x:c r="D20" s="12" t="n">
        <x:f>VLOOKUP($A20,'Job Ledger'!$A$2:$T$500,11,FALSE)</x:f>
        <x:v>0</x:v>
      </x:c>
      <x:c r="E20" s="12" t="str"/>
      <x:c r="F20" s="12" t="str"/>
      <x:c r="G20" s="12" t="str"/>
      <x:c r="H20" s="12" t="str"/>
      <x:c r="I20" s="12" t="n">
        <x:f>D20-SUM(E20:H20)</x:f>
        <x:v>0</x:v>
      </x:c>
      <x:c r="J20" s="9" t="str"/>
    </x:row>
    <x:row r="21">
      <x:c r="A21" s="9" t="str">
        <x:v>quote:48586197-fb5b-4cd2-bc2f-d07c3041b4cc</x:v>
      </x:c>
      <x:c r="B21" s="9" t="str">
        <x:v>Brian Knoll (Knoll psychiatry)</x:v>
      </x:c>
      <x:c r="C21" s="12" t="n">
        <x:f>VLOOKUP($A21,'Job Ledger'!$A$2:$T$500,7,FALSE)</x:f>
        <x:v>3850</x:v>
      </x:c>
      <x:c r="D21" s="12" t="n">
        <x:f>VLOOKUP($A21,'Job Ledger'!$A$2:$T$500,11,FALSE)</x:f>
        <x:v>3850</x:v>
      </x:c>
      <x:c r="E21" s="12" t="str"/>
      <x:c r="F21" s="12" t="str"/>
      <x:c r="G21" s="12" t="str"/>
      <x:c r="H21" s="12" t="str"/>
      <x:c r="I21" s="12" t="n">
        <x:f>D21-SUM(E21:H21)</x:f>
        <x:v>3850</x:v>
      </x:c>
      <x:c r="J21" s="9" t="str"/>
    </x:row>
    <x:row r="22">
      <x:c r="A22" s="9" t="str">
        <x:v>quote:88c9f191-9f2d-49a5-8f24-0eba05f8fc44</x:v>
      </x:c>
      <x:c r="B22" s="9" t="str">
        <x:v>Rick Groper</x:v>
      </x:c>
      <x:c r="C22" s="12" t="n">
        <x:f>VLOOKUP($A22,'Job Ledger'!$A$2:$T$500,7,FALSE)</x:f>
        <x:v>483</x:v>
      </x:c>
      <x:c r="D22" s="12" t="n">
        <x:f>VLOOKUP($A22,'Job Ledger'!$A$2:$T$500,11,FALSE)</x:f>
        <x:v>483</x:v>
      </x:c>
      <x:c r="E22" s="12" t="str"/>
      <x:c r="F22" s="12" t="str"/>
      <x:c r="G22" s="12" t="str"/>
      <x:c r="H22" s="12" t="str"/>
      <x:c r="I22" s="12" t="n">
        <x:f>D22-SUM(E22:H22)</x:f>
        <x:v>483</x:v>
      </x:c>
      <x:c r="J22" s="9" t="str"/>
    </x:row>
    <x:row r="23">
      <x:c r="A23" s="9" t="str">
        <x:v>entry:7f751980-4c73-4a8e-9ee4-616ae8ac168c</x:v>
      </x:c>
      <x:c r="B23" s="9" t="str">
        <x:v>Deborah Barker</x:v>
      </x:c>
      <x:c r="C23" s="12" t="n">
        <x:f>VLOOKUP($A23,'Job Ledger'!$A$2:$T$500,7,FALSE)</x:f>
        <x:v>3820</x:v>
      </x:c>
      <x:c r="D23" s="12" t="n">
        <x:f>VLOOKUP($A23,'Job Ledger'!$A$2:$T$500,11,FALSE)</x:f>
        <x:v>1900</x:v>
      </x:c>
      <x:c r="E23" s="12" t="str"/>
      <x:c r="F23" s="12" t="str"/>
      <x:c r="G23" s="12" t="str"/>
      <x:c r="H23" s="12" t="str"/>
      <x:c r="I23" s="12" t="n">
        <x:f>D23-SUM(E23:H23)</x:f>
        <x:v>1900</x:v>
      </x:c>
      <x:c r="J23" s="9" t="str"/>
    </x:row>
    <x:row r="24">
      <x:c r="A24" s="9" t="str">
        <x:v>entry:8ba2b392-e0cd-4371-9175-d2aa7a225e42</x:v>
      </x:c>
      <x:c r="B24" s="9" t="str">
        <x:v>Vaca Orozco, Gladys</x:v>
      </x:c>
      <x:c r="C24" s="12" t="n">
        <x:f>VLOOKUP($A24,'Job Ledger'!$A$2:$T$500,7,FALSE)</x:f>
        <x:v>3480</x:v>
      </x:c>
      <x:c r="D24" s="12" t="n">
        <x:f>VLOOKUP($A24,'Job Ledger'!$A$2:$T$500,11,FALSE)</x:f>
        <x:v>3480</x:v>
      </x:c>
      <x:c r="E24" s="12" t="str"/>
      <x:c r="F24" s="12" t="str"/>
      <x:c r="G24" s="12" t="str"/>
      <x:c r="H24" s="12" t="str"/>
      <x:c r="I24" s="12" t="n">
        <x:f>D24-SUM(E24:H24)</x:f>
        <x:v>3480</x:v>
      </x:c>
      <x:c r="J24" s="9" t="str"/>
    </x:row>
    <x:row r="25">
      <x:c r="A25" s="9" t="str">
        <x:v>entry:dd5acae3-05d9-4de3-a6f9-8acabb41b824</x:v>
      </x:c>
      <x:c r="B25" s="9" t="str">
        <x:v>CATHY WOLFE Q</x:v>
      </x:c>
      <x:c r="C25" s="12" t="n">
        <x:f>VLOOKUP($A25,'Job Ledger'!$A$2:$T$500,7,FALSE)</x:f>
        <x:v>3080</x:v>
      </x:c>
      <x:c r="D25" s="12" t="n">
        <x:f>VLOOKUP($A25,'Job Ledger'!$A$2:$T$500,11,FALSE)</x:f>
        <x:v>3080</x:v>
      </x:c>
      <x:c r="E25" s="12" t="str"/>
      <x:c r="F25" s="12" t="str"/>
      <x:c r="G25" s="12" t="str"/>
      <x:c r="H25" s="12" t="str"/>
      <x:c r="I25" s="12" t="n">
        <x:f>D25-SUM(E25:H25)</x:f>
        <x:v>3080</x:v>
      </x:c>
      <x:c r="J25" s="9" t="str"/>
    </x:row>
    <x:row r="26">
      <x:c r="A26" s="9" t="str">
        <x:v>entry:cce5e521-a905-4e74-a0eb-8938fa9497f4</x:v>
      </x:c>
      <x:c r="B26" s="9" t="str">
        <x:v>Hanson, Deb Q</x:v>
      </x:c>
      <x:c r="C26" s="12" t="n">
        <x:f>VLOOKUP($A26,'Job Ledger'!$A$2:$T$500,7,FALSE)</x:f>
        <x:v>2200</x:v>
      </x:c>
      <x:c r="D26" s="12" t="n">
        <x:f>VLOOKUP($A26,'Job Ledger'!$A$2:$T$500,11,FALSE)</x:f>
        <x:v>1100</x:v>
      </x:c>
      <x:c r="E26" s="12" t="str"/>
      <x:c r="F26" s="12" t="str"/>
      <x:c r="G26" s="12" t="str"/>
      <x:c r="H26" s="12" t="str"/>
      <x:c r="I26" s="12" t="n">
        <x:f>D26-SUM(E26:H26)</x:f>
        <x:v>1100</x:v>
      </x:c>
      <x:c r="J26" s="9" t="str"/>
    </x:row>
    <x:row r="27">
      <x:c r="A27" s="9" t="str">
        <x:v>entry:6ac4e175-0c20-4ff4-a672-2e584aa5fc01</x:v>
      </x:c>
      <x:c r="B27" s="9" t="str">
        <x:v>Locascio, Jill. CS (test)</x:v>
      </x:c>
      <x:c r="C27" s="12" t="n">
        <x:f>VLOOKUP($A27,'Job Ledger'!$A$2:$T$500,7,FALSE)</x:f>
        <x:v>325</x:v>
      </x:c>
      <x:c r="D27" s="12" t="n">
        <x:f>VLOOKUP($A27,'Job Ledger'!$A$2:$T$500,11,FALSE)</x:f>
        <x:v>325</x:v>
      </x:c>
      <x:c r="E27" s="12" t="str"/>
      <x:c r="F27" s="12" t="str"/>
      <x:c r="G27" s="12" t="str"/>
      <x:c r="H27" s="12" t="str"/>
      <x:c r="I27" s="12" t="n">
        <x:f>D27-SUM(E27:H27)</x:f>
        <x:v>325</x:v>
      </x:c>
      <x:c r="J27" s="9" t="str"/>
    </x:row>
    <x:row r="28">
      <x:c r="A28" s="9" t="str">
        <x:v>entry:43911770-efb1-4b97-bb49-ddd8b7e1abb7</x:v>
      </x:c>
      <x:c r="B28" s="9" t="str">
        <x:v>Dolowy(Voyce)Q</x:v>
      </x:c>
      <x:c r="C28" s="12" t="n">
        <x:f>VLOOKUP($A28,'Job Ledger'!$A$2:$T$500,7,FALSE)</x:f>
        <x:v>775</x:v>
      </x:c>
      <x:c r="D28" s="12" t="n">
        <x:f>VLOOKUP($A28,'Job Ledger'!$A$2:$T$500,11,FALSE)</x:f>
        <x:v>775</x:v>
      </x:c>
      <x:c r="E28" s="12" t="str"/>
      <x:c r="F28" s="12" t="str"/>
      <x:c r="G28" s="12" t="str"/>
      <x:c r="H28" s="12" t="str"/>
      <x:c r="I28" s="12" t="n">
        <x:f>D28-SUM(E28:H28)</x:f>
        <x:v>775</x:v>
      </x:c>
      <x:c r="J28" s="9" t="str"/>
    </x:row>
    <x:row r="29">
      <x:c r="A29" s="9" t="str">
        <x:v>entry:1cdad954-d4f8-45ce-9549-6c09757d4ad2</x:v>
      </x:c>
      <x:c r="B29" s="9" t="str">
        <x:v>NEWTON Q</x:v>
      </x:c>
      <x:c r="C29" s="12" t="n">
        <x:f>VLOOKUP($A29,'Job Ledger'!$A$2:$T$500,7,FALSE)</x:f>
        <x:v>1054</x:v>
      </x:c>
      <x:c r="D29" s="12" t="n">
        <x:f>VLOOKUP($A29,'Job Ledger'!$A$2:$T$500,11,FALSE)</x:f>
        <x:v>1054</x:v>
      </x:c>
      <x:c r="E29" s="12" t="str"/>
      <x:c r="F29" s="12" t="str"/>
      <x:c r="G29" s="12" t="str"/>
      <x:c r="H29" s="12" t="str"/>
      <x:c r="I29" s="12" t="n">
        <x:f>D29-SUM(E29:H29)</x:f>
        <x:v>1054</x:v>
      </x:c>
      <x:c r="J29" s="9" t="str"/>
    </x:row>
    <x:row r="30">
      <x:c r="A30" s="9" t="str">
        <x:v>entry:f138666b-091e-46a4-96ec-e590b608bdbf</x:v>
      </x:c>
      <x:c r="B30" s="9" t="str">
        <x:v>Corrico* Q PD</x:v>
      </x:c>
      <x:c r="C30" s="12" t="n">
        <x:f>VLOOKUP($A30,'Job Ledger'!$A$2:$T$500,7,FALSE)</x:f>
        <x:v>5230</x:v>
      </x:c>
      <x:c r="D30" s="12" t="n">
        <x:f>VLOOKUP($A30,'Job Ledger'!$A$2:$T$500,11,FALSE)</x:f>
        <x:v>5230</x:v>
      </x:c>
      <x:c r="E30" s="12" t="str"/>
      <x:c r="F30" s="12" t="str"/>
      <x:c r="G30" s="12" t="str"/>
      <x:c r="H30" s="12" t="str"/>
      <x:c r="I30" s="12" t="n">
        <x:f>D30-SUM(E30:H30)</x:f>
        <x:v>5230</x:v>
      </x:c>
      <x:c r="J30" s="9" t="str"/>
    </x:row>
    <x:row r="31">
      <x:c r="A31" s="9" t="str">
        <x:v>entry:68dacd3c-ccdb-4208-a21b-741c120c58f5</x:v>
      </x:c>
      <x:c r="B31" s="9" t="str">
        <x:v>GRAY. Q PD</x:v>
      </x:c>
      <x:c r="C31" s="12" t="n">
        <x:f>VLOOKUP($A31,'Job Ledger'!$A$2:$T$500,7,FALSE)</x:f>
        <x:v>2500</x:v>
      </x:c>
      <x:c r="D31" s="12" t="n">
        <x:f>VLOOKUP($A31,'Job Ledger'!$A$2:$T$500,11,FALSE)</x:f>
        <x:v>2500</x:v>
      </x:c>
      <x:c r="E31" s="12" t="str"/>
      <x:c r="F31" s="12" t="str"/>
      <x:c r="G31" s="12" t="str"/>
      <x:c r="H31" s="12" t="str"/>
      <x:c r="I31" s="12" t="n">
        <x:f>D31-SUM(E31:H31)</x:f>
        <x:v>2500</x:v>
      </x:c>
      <x:c r="J31" s="9" t="str"/>
    </x:row>
    <x:row r="32">
      <x:c r="A32" s="9" t="str">
        <x:v>entry:61d7c61d-f761-484b-9b8d-eb71ca68f5aa</x:v>
      </x:c>
      <x:c r="B32" s="9" t="str">
        <x:v>Rodeigez Q</x:v>
      </x:c>
      <x:c r="C32" s="12" t="n">
        <x:f>VLOOKUP($A32,'Job Ledger'!$A$2:$T$500,7,FALSE)</x:f>
        <x:v>2704</x:v>
      </x:c>
      <x:c r="D32" s="12" t="n">
        <x:f>VLOOKUP($A32,'Job Ledger'!$A$2:$T$500,11,FALSE)</x:f>
        <x:v>2704</x:v>
      </x:c>
      <x:c r="E32" s="12" t="str"/>
      <x:c r="F32" s="12" t="str"/>
      <x:c r="G32" s="12" t="str"/>
      <x:c r="H32" s="12" t="str"/>
      <x:c r="I32" s="12" t="n">
        <x:f>D32-SUM(E32:H32)</x:f>
        <x:v>2704</x:v>
      </x:c>
      <x:c r="J32" s="9" t="str"/>
    </x:row>
    <x:row r="33">
      <x:c r="A33" s="9" t="str">
        <x:v>entry:f71a0bd4-680e-4ecf-a649-2cf834c4a98e</x:v>
      </x:c>
      <x:c r="B33" s="9" t="str">
        <x:v>Seigel*</x:v>
      </x:c>
      <x:c r="C33" s="12" t="n">
        <x:f>VLOOKUP($A33,'Job Ledger'!$A$2:$T$500,7,FALSE)</x:f>
        <x:v>2113</x:v>
      </x:c>
      <x:c r="D33" s="12" t="n">
        <x:f>VLOOKUP($A33,'Job Ledger'!$A$2:$T$500,11,FALSE)</x:f>
        <x:v>2113</x:v>
      </x:c>
      <x:c r="E33" s="12" t="str"/>
      <x:c r="F33" s="12" t="str"/>
      <x:c r="G33" s="12" t="str"/>
      <x:c r="H33" s="12" t="str"/>
      <x:c r="I33" s="12" t="n">
        <x:f>D33-SUM(E33:H33)</x:f>
        <x:v>2113</x:v>
      </x:c>
      <x:c r="J33" s="9" t="str"/>
    </x:row>
    <x:row r="34">
      <x:c r="A34" s="9" t="str">
        <x:v>entry:a8fd9886-b592-4806-9dda-e0e1d46ffba5</x:v>
      </x:c>
      <x:c r="B34" s="9" t="str">
        <x:v>Torres* Q PD</x:v>
      </x:c>
      <x:c r="C34" s="12" t="n">
        <x:f>VLOOKUP($A34,'Job Ledger'!$A$2:$T$500,7,FALSE)</x:f>
        <x:v>2500</x:v>
      </x:c>
      <x:c r="D34" s="12" t="n">
        <x:f>VLOOKUP($A34,'Job Ledger'!$A$2:$T$500,11,FALSE)</x:f>
        <x:v>2500</x:v>
      </x:c>
      <x:c r="E34" s="12" t="str"/>
      <x:c r="F34" s="12" t="str"/>
      <x:c r="G34" s="12" t="str"/>
      <x:c r="H34" s="12" t="str"/>
      <x:c r="I34" s="12" t="n">
        <x:f>D34-SUM(E34:H34)</x:f>
        <x:v>2500</x:v>
      </x:c>
      <x:c r="J34" s="9" t="str"/>
    </x:row>
    <x:row r="35">
      <x:c r="A35" s="9" t="str">
        <x:v>entry:171c5f6b-3ece-4369-8d49-042f2b260a6b</x:v>
      </x:c>
      <x:c r="B35" s="9" t="str">
        <x:v>Waldmen Q</x:v>
      </x:c>
      <x:c r="C35" s="12" t="n">
        <x:f>VLOOKUP($A35,'Job Ledger'!$A$2:$T$500,7,FALSE)</x:f>
        <x:v>4022</x:v>
      </x:c>
      <x:c r="D35" s="12" t="n">
        <x:f>VLOOKUP($A35,'Job Ledger'!$A$2:$T$500,11,FALSE)</x:f>
        <x:v>2011</x:v>
      </x:c>
      <x:c r="E35" s="12" t="str"/>
      <x:c r="F35" s="12" t="str"/>
      <x:c r="G35" s="12" t="str"/>
      <x:c r="H35" s="12" t="str"/>
      <x:c r="I35" s="12" t="n">
        <x:f>D35-SUM(E35:H35)</x:f>
        <x:v>2011</x:v>
      </x:c>
      <x:c r="J35" s="9" t="str"/>
    </x:row>
    <x:row r="36">
      <x:c r="A36" s="10" t="str">
        <x:v>entry:70caaac3-3d24-4ef0-9770-b2eb76eafff9</x:v>
      </x:c>
      <x:c r="B36" s="10" t="str">
        <x:v>Milani Q</x:v>
      </x:c>
      <x:c r="C36" s="13" t="n">
        <x:f>VLOOKUP($A36,'Job Ledger'!$A$2:$T$500,7,FALSE)</x:f>
        <x:v>1343</x:v>
      </x:c>
      <x:c r="D36" s="13" t="n">
        <x:f>VLOOKUP($A36,'Job Ledger'!$A$2:$T$500,11,FALSE)</x:f>
        <x:v>1343</x:v>
      </x:c>
      <x:c r="E36" s="13" t="str"/>
      <x:c r="F36" s="13" t="str"/>
      <x:c r="G36" s="13" t="str"/>
      <x:c r="H36" s="13" t="str"/>
      <x:c r="I36" s="13" t="n">
        <x:f>D36-SUM(E36:H36)</x:f>
        <x:v>1343</x:v>
      </x:c>
      <x:c r="J36" s="10" t="str"/>
    </x:row>
  </x:sheetData>
  <x:pageMargins left="0.7" right="0.7" top="0.75" bottom="0.75" header="0.3" footer="0.3"/>
</x:worksheet>
</file>